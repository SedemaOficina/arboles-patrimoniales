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allazgos" sheetId="2" state="visible" r:id="rId2"/>
    <sheet xmlns:r="http://schemas.openxmlformats.org/officeDocument/2006/relationships" name="Correcciones_directas" sheetId="3" state="visible" r:id="rId3"/>
    <sheet xmlns:r="http://schemas.openxmlformats.org/officeDocument/2006/relationships" name="Verificar_en_fuente" sheetId="4" state="visible" r:id="rId4"/>
    <sheet xmlns:r="http://schemas.openxmlformats.org/officeDocument/2006/relationships" name="Catalogos_NADF" sheetId="5" state="visible" r:id="rId5"/>
  </sheets>
  <definedNames>
    <definedName name="_xlnm.Print_Titles" localSheetId="1">'Hallazgos'!$1:$1</definedName>
    <definedName name="_xlnm.Print_Titles" localSheetId="2">'Correcciones_directas'!$4:$4</definedName>
    <definedName name="_xlnm.Print_Titles" localSheetId="3">'Verificar_en_fuente'!$4:$4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E4D2B"/>
      <sz val="16"/>
    </font>
    <font>
      <name val="Arial"/>
      <color rgb="0055585A"/>
      <sz val="10"/>
    </font>
    <font>
      <name val="Arial"/>
      <color rgb="0055585A"/>
      <sz val="9"/>
    </font>
    <font>
      <name val="Arial"/>
      <b val="1"/>
      <color rgb="001E4D2B"/>
      <sz val="11"/>
    </font>
    <font>
      <name val="Arial"/>
      <b val="1"/>
      <color rgb="00C0392B"/>
      <sz val="10"/>
    </font>
    <font>
      <name val="Arial"/>
      <b val="1"/>
      <sz val="10"/>
    </font>
    <font>
      <name val="Arial"/>
      <color rgb="001A1A1A"/>
      <sz val="10"/>
    </font>
    <font>
      <name val="Arial"/>
      <b val="1"/>
      <color rgb="008B6F47"/>
      <sz val="10"/>
    </font>
    <font>
      <name val="Arial"/>
      <b val="1"/>
      <color rgb="0055585A"/>
      <sz val="10"/>
    </font>
    <font>
      <name val="Arial"/>
      <sz val="10"/>
    </font>
    <font>
      <name val="Arial"/>
      <b val="1"/>
      <color rgb="002D7A3E"/>
      <sz val="11"/>
    </font>
    <font>
      <name val="Arial"/>
      <b val="1"/>
      <color rgb="00FFFFFF"/>
      <sz val="10"/>
    </font>
    <font>
      <name val="Arial"/>
      <color rgb="001A1A1A"/>
      <sz val="9"/>
    </font>
    <font>
      <name val="Arial"/>
      <b val="1"/>
      <color rgb="00C0392B"/>
      <sz val="9"/>
    </font>
    <font>
      <name val="Arial"/>
      <b val="1"/>
      <color rgb="001A1A1A"/>
      <sz val="9"/>
    </font>
    <font>
      <name val="Arial"/>
      <b val="1"/>
      <color rgb="002D7A3E"/>
      <sz val="9"/>
    </font>
    <font>
      <name val="Arial"/>
      <b val="1"/>
      <color rgb="001E4D2B"/>
      <sz val="12"/>
    </font>
    <font>
      <name val="Arial"/>
      <i val="1"/>
      <color rgb="0055585A"/>
      <sz val="8"/>
    </font>
    <font>
      <name val="Arial"/>
      <sz val="9"/>
    </font>
  </fonts>
  <fills count="7">
    <fill>
      <patternFill/>
    </fill>
    <fill>
      <patternFill patternType="gray125"/>
    </fill>
    <fill>
      <patternFill patternType="solid">
        <fgColor rgb="001E4D2B"/>
      </patternFill>
    </fill>
    <fill>
      <patternFill patternType="solid">
        <fgColor rgb="00FAF7F0"/>
      </patternFill>
    </fill>
    <fill>
      <patternFill patternType="solid">
        <fgColor rgb="002D7A3E"/>
      </patternFill>
    </fill>
    <fill>
      <patternFill patternType="solid">
        <fgColor rgb="008B6F47"/>
      </patternFill>
    </fill>
    <fill>
      <patternFill patternType="solid">
        <fgColor rgb="00E8F0E3"/>
      </patternFill>
    </fill>
  </fills>
  <borders count="5">
    <border>
      <left/>
      <right/>
      <top/>
      <bottom/>
      <diagonal/>
    </border>
    <border>
      <left style="thin">
        <color rgb="001E4D2B"/>
      </left>
      <right style="thin">
        <color rgb="001E4D2B"/>
      </right>
      <top style="thin">
        <color rgb="001E4D2B"/>
      </top>
      <bottom style="thin">
        <color rgb="001E4D2B"/>
      </bottom>
    </border>
    <border>
      <left style="thin">
        <color rgb="00C8D6C4"/>
      </left>
      <right style="thin">
        <color rgb="00C8D6C4"/>
      </right>
      <top style="thin">
        <color rgb="00C8D6C4"/>
      </top>
      <bottom style="thin">
        <color rgb="00C8D6C4"/>
      </bottom>
    </border>
    <border>
      <left style="thin">
        <color rgb="002D7A3E"/>
      </left>
      <right style="thin">
        <color rgb="002D7A3E"/>
      </right>
      <top style="thin">
        <color rgb="002D7A3E"/>
      </top>
      <bottom style="thin">
        <color rgb="002D7A3E"/>
      </bottom>
    </border>
    <border>
      <left style="thin">
        <color rgb="008B6F47"/>
      </left>
      <right style="thin">
        <color rgb="008B6F47"/>
      </right>
      <top style="thin">
        <color rgb="008B6F47"/>
      </top>
      <bottom style="thin">
        <color rgb="008B6F47"/>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center"/>
    </xf>
    <xf numFmtId="0" fontId="7" fillId="0" borderId="0" pivotButton="0" quotePrefix="0" xfId="0"/>
    <xf numFmtId="0" fontId="8" fillId="0" borderId="0" pivotButton="0" quotePrefix="0" xfId="0"/>
    <xf numFmtId="0" fontId="9" fillId="0" borderId="0" pivotButton="0" quotePrefix="0" xfId="0"/>
    <xf numFmtId="0" fontId="6" fillId="0" borderId="0" pivotButton="0" quotePrefix="0" xfId="0"/>
    <xf numFmtId="0" fontId="10" fillId="0" borderId="0" pivotButton="0" quotePrefix="0" xfId="0"/>
    <xf numFmtId="0" fontId="10" fillId="0" borderId="0" applyAlignment="1" pivotButton="0" quotePrefix="0" xfId="0">
      <alignment horizontal="center"/>
    </xf>
    <xf numFmtId="0" fontId="5" fillId="0" borderId="0" applyAlignment="1" pivotButton="0" quotePrefix="0" xfId="0">
      <alignment horizontal="center" vertical="top"/>
    </xf>
    <xf numFmtId="0" fontId="10" fillId="0" borderId="0" applyAlignment="1" pivotButton="0" quotePrefix="0" xfId="0">
      <alignment vertical="top" wrapText="1"/>
    </xf>
    <xf numFmtId="0" fontId="11" fillId="0" borderId="0" pivotButton="0" quotePrefix="0" xfId="0"/>
    <xf numFmtId="0" fontId="12" fillId="2" borderId="1" applyAlignment="1" pivotButton="0" quotePrefix="0" xfId="0">
      <alignment horizontal="center" vertical="center" wrapText="1"/>
    </xf>
    <xf numFmtId="0" fontId="13" fillId="3" borderId="2" applyAlignment="1" pivotButton="0" quotePrefix="0" xfId="0">
      <alignment horizontal="center" vertical="top" wrapText="1"/>
    </xf>
    <xf numFmtId="0" fontId="14" fillId="3" borderId="2" applyAlignment="1" pivotButton="0" quotePrefix="0" xfId="0">
      <alignment horizontal="center" vertical="top" wrapText="1"/>
    </xf>
    <xf numFmtId="0" fontId="13" fillId="3" borderId="2" applyAlignment="1" pivotButton="0" quotePrefix="0" xfId="0">
      <alignment horizontal="left" vertical="top" wrapText="1"/>
    </xf>
    <xf numFmtId="0" fontId="13" fillId="0" borderId="2" applyAlignment="1" pivotButton="0" quotePrefix="0" xfId="0">
      <alignment horizontal="center" vertical="top" wrapText="1"/>
    </xf>
    <xf numFmtId="0" fontId="14" fillId="0" borderId="2" applyAlignment="1" pivotButton="0" quotePrefix="0" xfId="0">
      <alignment horizontal="center" vertical="top" wrapText="1"/>
    </xf>
    <xf numFmtId="0" fontId="13" fillId="0" borderId="2" applyAlignment="1" pivotButton="0" quotePrefix="0" xfId="0">
      <alignment horizontal="left" vertical="top" wrapText="1"/>
    </xf>
    <xf numFmtId="0" fontId="15" fillId="3" borderId="2" applyAlignment="1" pivotButton="0" quotePrefix="0" xfId="0">
      <alignment horizontal="center" vertical="top" wrapText="1"/>
    </xf>
    <xf numFmtId="0" fontId="15" fillId="0" borderId="2" applyAlignment="1" pivotButton="0" quotePrefix="0" xfId="0">
      <alignment horizontal="center" vertical="top" wrapText="1"/>
    </xf>
    <xf numFmtId="0" fontId="16" fillId="0" borderId="2" applyAlignment="1" pivotButton="0" quotePrefix="0" xfId="0">
      <alignment horizontal="center" vertical="top" wrapText="1"/>
    </xf>
    <xf numFmtId="0" fontId="16" fillId="3" borderId="2" applyAlignment="1" pivotButton="0" quotePrefix="0" xfId="0">
      <alignment horizontal="center" vertical="top" wrapText="1"/>
    </xf>
    <xf numFmtId="0" fontId="17" fillId="0" borderId="0" pivotButton="0" quotePrefix="0" xfId="0"/>
    <xf numFmtId="0" fontId="12" fillId="4" borderId="3" applyAlignment="1" pivotButton="0" quotePrefix="0" xfId="0">
      <alignment horizontal="center" vertical="center"/>
    </xf>
    <xf numFmtId="0" fontId="16" fillId="3" borderId="2" applyAlignment="1" pivotButton="0" quotePrefix="0" xfId="0">
      <alignment horizontal="left" vertical="top" wrapText="1"/>
    </xf>
    <xf numFmtId="0" fontId="16" fillId="0" borderId="2" applyAlignment="1" pivotButton="0" quotePrefix="0" xfId="0">
      <alignment horizontal="left" vertical="top" wrapText="1"/>
    </xf>
    <xf numFmtId="0" fontId="12" fillId="5" borderId="4" applyAlignment="1" pivotButton="0" quotePrefix="0" xfId="0">
      <alignment horizontal="center" vertical="center"/>
    </xf>
    <xf numFmtId="0" fontId="15" fillId="3" borderId="2" applyAlignment="1" pivotButton="0" quotePrefix="0" xfId="0">
      <alignment horizontal="left" vertical="top" wrapText="1"/>
    </xf>
    <xf numFmtId="0" fontId="15" fillId="0" borderId="2" applyAlignment="1" pivotButton="0" quotePrefix="0" xfId="0">
      <alignment horizontal="left" vertical="top" wrapText="1"/>
    </xf>
    <xf numFmtId="0" fontId="12" fillId="2" borderId="1" applyAlignment="1" pivotButton="0" quotePrefix="0" xfId="0">
      <alignment horizontal="center" wrapText="1"/>
    </xf>
    <xf numFmtId="0" fontId="18" fillId="0" borderId="0" applyAlignment="1" pivotButton="0" quotePrefix="0" xfId="0">
      <alignment horizontal="center" wrapText="1"/>
    </xf>
    <xf numFmtId="0" fontId="19" fillId="6" borderId="2" pivotButton="0" quotePrefix="0" xfId="0"/>
    <xf numFmtId="0" fontId="4" fillId="6" borderId="2" pivotButton="0" quotePrefix="0" xfId="0"/>
    <xf numFmtId="0" fontId="12" fillId="4" borderId="3" applyAlignment="1" pivotButton="0" quotePrefix="0" xfId="0">
      <alignment horizontal="center"/>
    </xf>
    <xf numFmtId="0" fontId="19" fillId="3" borderId="2" applyAlignment="1" pivotButton="0" quotePrefix="0" xfId="0">
      <alignment vertical="top" wrapText="1"/>
    </xf>
    <xf numFmtId="0" fontId="19"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Hallazgos_auditoria" displayName="Hallazgos_auditoria" ref="A1:J53" headerRowCount="1">
  <autoFilter ref="A1:J53"/>
  <tableColumns count="10">
    <tableColumn id="1" name="N°"/>
    <tableColumn id="2" name="Severidad"/>
    <tableColumn id="3" name="Dimensión"/>
    <tableColumn id="4" name="Celda o columna"/>
    <tableColumn id="5" name="Campo"/>
    <tableColumn id="6" name="Valor actual"/>
    <tableColumn id="7" name="Qué está mal"/>
    <tableColumn id="8" name="Corrección propuesta"/>
    <tableColumn id="9" name="Fundamento"/>
    <tableColumn id="10" name="Resuelv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D37"/>
  <sheetViews>
    <sheetView showGridLines="0" workbookViewId="0">
      <selection activeCell="A1" sqref="A1"/>
    </sheetView>
  </sheetViews>
  <sheetFormatPr baseColWidth="8" defaultRowHeight="15"/>
  <cols>
    <col width="3" customWidth="1" min="1" max="1"/>
    <col width="46" customWidth="1" min="2" max="2"/>
    <col width="14" customWidth="1" min="3" max="3"/>
    <col width="72" customWidth="1" min="4" max="4"/>
  </cols>
  <sheetData>
    <row r="1"/>
    <row r="2">
      <c r="B2" s="1" t="inlineStr">
        <is>
          <t>Auditoría de la base de datos</t>
        </is>
      </c>
    </row>
    <row r="3">
      <c r="B3" s="2" t="inlineStr">
        <is>
          <t>Listado público de árboles patrimoniales de la Ciudad de México</t>
        </is>
      </c>
    </row>
    <row r="4">
      <c r="B4" s="3" t="inlineStr">
        <is>
          <t>Secretaría del Medio Ambiente · Oficina de la Secretaría</t>
        </is>
      </c>
    </row>
    <row r="5">
      <c r="B5" s="3" t="inlineStr">
        <is>
          <t>20 de agosto de 2026 · 13 ejemplares · 76 columnas · 4 hojas</t>
        </is>
      </c>
    </row>
    <row r="6"/>
    <row r="7">
      <c r="B7" s="4" t="inlineStr">
        <is>
          <t>Hallazgos por severidad</t>
        </is>
      </c>
    </row>
    <row r="8">
      <c r="B8" s="5" t="inlineStr">
        <is>
          <t>Alta</t>
        </is>
      </c>
      <c r="C8" s="6">
        <f>COUNTIF(Hallazgos!$B$2:$B$200,"Alta")</f>
        <v/>
      </c>
      <c r="D8" s="7" t="inlineStr">
        <is>
          <t>Publica un dato incorrecto o pone en riesgo la llave primaria</t>
        </is>
      </c>
    </row>
    <row r="9">
      <c r="B9" s="8" t="inlineStr">
        <is>
          <t>Media</t>
        </is>
      </c>
      <c r="C9" s="6">
        <f>COUNTIF(Hallazgos!$B$2:$B$200,"Media")</f>
        <v/>
      </c>
      <c r="D9" s="7" t="inlineStr">
        <is>
          <t>Se aparta del catálogo de la NADF-001 o rompe la consistencia del padrón</t>
        </is>
      </c>
    </row>
    <row r="10">
      <c r="B10" s="9" t="inlineStr">
        <is>
          <t>Baja</t>
        </is>
      </c>
      <c r="C10" s="6">
        <f>COUNTIF(Hallazgos!$B$2:$B$200,"Baja")</f>
        <v/>
      </c>
      <c r="D10" s="7" t="inlineStr">
        <is>
          <t>Ortografía y forma; viaja al CSV público</t>
        </is>
      </c>
    </row>
    <row r="11">
      <c r="B11" s="9" t="inlineStr">
        <is>
          <t>Correcto</t>
        </is>
      </c>
      <c r="C11" s="6">
        <f>COUNTIF(Hallazgos!$B$2:$B$200,"Correcto")</f>
        <v/>
      </c>
      <c r="D11" s="7" t="inlineStr">
        <is>
          <t>Se verificó de forma independiente y resistió la prueba. No requiere acción</t>
        </is>
      </c>
    </row>
    <row r="12">
      <c r="B12" s="10" t="inlineStr">
        <is>
          <t>Total</t>
        </is>
      </c>
      <c r="C12" s="6">
        <f>SUM(C8:C11)</f>
        <v/>
      </c>
    </row>
    <row r="13"/>
    <row r="14">
      <c r="B14" s="4" t="inlineStr">
        <is>
          <t>Hallazgos por dimensión</t>
        </is>
      </c>
    </row>
    <row r="15">
      <c r="B15" s="11" t="inlineStr">
        <is>
          <t>Fórmulas</t>
        </is>
      </c>
      <c r="C15" s="12">
        <f>COUNTIF(Hallazgos!$C$2:$C$200,"Fórmulas")</f>
        <v/>
      </c>
    </row>
    <row r="16">
      <c r="B16" s="11" t="inlineStr">
        <is>
          <t>Mediciones</t>
        </is>
      </c>
      <c r="C16" s="12">
        <f>COUNTIF(Hallazgos!$C$2:$C$200,"Mediciones")</f>
        <v/>
      </c>
    </row>
    <row r="17">
      <c r="B17" s="11" t="inlineStr">
        <is>
          <t>Datos</t>
        </is>
      </c>
      <c r="C17" s="12">
        <f>COUNTIF(Hallazgos!$C$2:$C$200,"Datos")</f>
        <v/>
      </c>
    </row>
    <row r="18">
      <c r="B18" s="11" t="inlineStr">
        <is>
          <t>Norma</t>
        </is>
      </c>
      <c r="C18" s="12">
        <f>COUNTIF(Hallazgos!$C$2:$C$200,"Norma")</f>
        <v/>
      </c>
    </row>
    <row r="19">
      <c r="B19" s="11" t="inlineStr">
        <is>
          <t>Consistencia</t>
        </is>
      </c>
      <c r="C19" s="12">
        <f>COUNTIF(Hallazgos!$C$2:$C$200,"Consistencia")</f>
        <v/>
      </c>
    </row>
    <row r="20">
      <c r="B20" s="11" t="inlineStr">
        <is>
          <t>Ortografía</t>
        </is>
      </c>
      <c r="C20" s="12">
        <f>COUNTIF(Hallazgos!$C$2:$C$200,"Ortografía")</f>
        <v/>
      </c>
    </row>
    <row r="21">
      <c r="B21" s="11" t="inlineStr">
        <is>
          <t>Estructura</t>
        </is>
      </c>
      <c r="C21" s="12">
        <f>COUNTIF(Hallazgos!$C$2:$C$200,"Estructura")</f>
        <v/>
      </c>
    </row>
    <row r="22">
      <c r="B22" s="11" t="inlineStr">
        <is>
          <t>Verificación</t>
        </is>
      </c>
      <c r="C22" s="12">
        <f>COUNTIF(Hallazgos!$C$2:$C$200,"Verificación")</f>
        <v/>
      </c>
    </row>
    <row r="23"/>
    <row r="24">
      <c r="B24" s="4" t="inlineStr">
        <is>
          <t>Los cinco puntos que hay que resolver antes de volver a publicar</t>
        </is>
      </c>
    </row>
    <row r="25" ht="38" customHeight="1">
      <c r="B25" s="13" t="n">
        <v>1</v>
      </c>
      <c r="D25" s="14" t="inlineStr">
        <is>
          <t>Cinco celdas de emisiones evitadas siguen siendo fechas (BR11, BT9, BT11, BT13, BV11). Son las que produjeron «12,052,025 kg de CO2 al año».</t>
        </is>
      </c>
    </row>
    <row r="26" ht="53" customHeight="1">
      <c r="B26" s="13" t="n">
        <v>2</v>
      </c>
      <c r="D26" s="14" t="inlineStr">
        <is>
          <t>El bloque BR:BV está capturado como texto. La validación que exige número se detiene justo antes: las cinco columnas fuera del rango validado son exactamente las cinco dañadas.</t>
        </is>
      </c>
    </row>
    <row r="27" ht="38" customHeight="1">
      <c r="B27" s="13" t="n">
        <v>3</v>
      </c>
      <c r="D27" s="14" t="inlineStr">
        <is>
          <t>La validación de especie y de alcaldía apunta a #REF!, y el VLOOKUP de la alcaldía usa coincidencia aproximada. Una alcaldía mal escrita produce un ID falso sin avisar.</t>
        </is>
      </c>
    </row>
    <row r="28" ht="38" customHeight="1">
      <c r="B28" s="13" t="n">
        <v>4</v>
      </c>
      <c r="D28" s="14" t="inlineStr">
        <is>
          <t>El bloque i-Tree no es coherente: el carbono correlaciona negativamente con el DAP y los renglones 11 a 14 vienen de otra corrida.</t>
        </is>
      </c>
    </row>
    <row r="29" ht="38" customHeight="1">
      <c r="B29" s="13" t="n">
        <v>5</v>
      </c>
      <c r="D29" s="14" t="inlineStr">
        <is>
          <t>Hay que confirmar si el DAP de algún ejemplar es en realidad el perímetro. En el Sabino de San Juan la diferencia es entre 590 cm y 188 cm.</t>
        </is>
      </c>
    </row>
    <row r="30"/>
    <row r="31">
      <c r="B31" s="15" t="inlineStr">
        <is>
          <t>Lo que se revisó y salió bien</t>
        </is>
      </c>
    </row>
    <row r="32">
      <c r="D32" s="7" t="inlineStr">
        <is>
          <t>· Los 21 VLOOKUP taxonómicos apuntan al desplazamiento correcto del catálogo CGO. Ninguno está corrido.</t>
        </is>
      </c>
    </row>
    <row r="33">
      <c r="D33" s="7" t="inlineStr">
        <is>
          <t>· Las tres especies del padrón existen en el catálogo: no hay #N/A latentes.</t>
        </is>
      </c>
    </row>
    <row r="34">
      <c r="D34" s="7" t="inlineStr">
        <is>
          <t>· Las trece parejas de coordenadas geográficas y UTM concuerdan dentro de 6.4 m.</t>
        </is>
      </c>
    </row>
    <row r="35">
      <c r="D35" s="7" t="inlineStr">
        <is>
          <t>· Los vocabularios de Condición y Estructura son los de la norma; solo falla el género en Condición.</t>
        </is>
      </c>
    </row>
    <row r="36">
      <c r="D36" s="7" t="inlineStr">
        <is>
          <t>· La fórmula de extensión de copa es el promedio correcto, pese a que el texto de la norma diga otra cosa.</t>
        </is>
      </c>
    </row>
    <row r="37">
      <c r="D37" s="7" t="inlineStr">
        <is>
          <t>· La fórmula de circunferencia (π por el diámetro) es correcta como fórmula.</t>
        </is>
      </c>
    </row>
  </sheetData>
  <pageMargins left="0.4" right="0.4" top="0.5" bottom="0.5" header="0.5" footer="0.5"/>
  <pageSetup orientation="landscape" fitToHeight="0" fitToWidth="1"/>
  <headerFooter>
    <oddHeader/>
    <oddFooter>&amp;L&amp;8 Auditoría de la base de datos · SEDEMA · 20 de agosto de 2026&amp;R&amp;8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5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4" customWidth="1" min="3" max="3"/>
    <col width="22" customWidth="1" min="4" max="4"/>
    <col width="26" customWidth="1" min="5" max="5"/>
    <col width="34" customWidth="1" min="6" max="6"/>
    <col width="66" customWidth="1" min="7" max="7"/>
    <col width="56" customWidth="1" min="8" max="8"/>
    <col width="46" customWidth="1" min="9" max="9"/>
    <col width="11" customWidth="1" min="10" max="10"/>
  </cols>
  <sheetData>
    <row r="1" ht="30" customHeight="1">
      <c r="A1" s="16" t="inlineStr">
        <is>
          <t>N°</t>
        </is>
      </c>
      <c r="B1" s="16" t="inlineStr">
        <is>
          <t>Severidad</t>
        </is>
      </c>
      <c r="C1" s="16" t="inlineStr">
        <is>
          <t>Dimensión</t>
        </is>
      </c>
      <c r="D1" s="16" t="inlineStr">
        <is>
          <t>Celda o columna</t>
        </is>
      </c>
      <c r="E1" s="16" t="inlineStr">
        <is>
          <t>Campo</t>
        </is>
      </c>
      <c r="F1" s="16" t="inlineStr">
        <is>
          <t>Valor actual</t>
        </is>
      </c>
      <c r="G1" s="16" t="inlineStr">
        <is>
          <t>Qué está mal</t>
        </is>
      </c>
      <c r="H1" s="16" t="inlineStr">
        <is>
          <t>Corrección propuesta</t>
        </is>
      </c>
      <c r="I1" s="16" t="inlineStr">
        <is>
          <t>Fundamento</t>
        </is>
      </c>
      <c r="J1" s="16" t="inlineStr">
        <is>
          <t>Resuelve</t>
        </is>
      </c>
    </row>
    <row r="2" ht="50" customHeight="1">
      <c r="A2" s="17" t="n">
        <v>1</v>
      </c>
      <c r="B2" s="18" t="inlineStr">
        <is>
          <t>Alta</t>
        </is>
      </c>
      <c r="C2" s="19" t="inlineStr">
        <is>
          <t>Fórmulas</t>
        </is>
      </c>
      <c r="D2" s="19" t="inlineStr">
        <is>
          <t>D2:D14 y O2:O14</t>
        </is>
      </c>
      <c r="E2" s="19" t="inlineStr">
        <is>
          <t>especievalida / Alcaldía</t>
        </is>
      </c>
      <c r="F2" s="19" t="inlineStr">
        <is>
          <t>lista = #REF!</t>
        </is>
      </c>
      <c r="G2" s="19" t="inlineStr">
        <is>
          <t>Las dos listas desplegables apuntan a un rango borrado. Hoy no hay ningún control sobre lo que se captura en especie ni en alcaldía, que son las dos columnas de las que depende el ID.</t>
        </is>
      </c>
      <c r="H2" s="19" t="inlineStr">
        <is>
          <t>Reapuntar la validación a Alcaldias[Alcaldía] y a CGO_TAXONÓMICO[especievalida], con la opción «Rechazar la entrada», no «Mostrar advertencia».</t>
        </is>
      </c>
      <c r="I2" s="19" t="inlineStr">
        <is>
          <t>Columna A calcula el ID a partir de P (que depende de O) y de AF/AJ (que dependen de D).</t>
        </is>
      </c>
      <c r="J2" s="17" t="inlineStr">
        <is>
          <t>SEDEMA</t>
        </is>
      </c>
    </row>
    <row r="3" ht="112.5" customHeight="1">
      <c r="A3" s="20" t="n">
        <v>2</v>
      </c>
      <c r="B3" s="21" t="inlineStr">
        <is>
          <t>Alta</t>
        </is>
      </c>
      <c r="C3" s="22" t="inlineStr">
        <is>
          <t>Fórmulas</t>
        </is>
      </c>
      <c r="D3" s="22" t="inlineStr">
        <is>
          <t>P2:P14</t>
        </is>
      </c>
      <c r="E3" s="22" t="inlineStr">
        <is>
          <t>Codigo alcaldía</t>
        </is>
      </c>
      <c r="F3" s="22" t="inlineStr">
        <is>
          <t>=VLOOKUP(O2,Alcaldias[#ALL],2)</t>
        </is>
      </c>
      <c r="G3" s="22" t="inlineStr">
        <is>
          <t>Falta el cuarto argumento: la búsqueda es APROXIMADA. Una alcaldía mal escrita no devuelve #N/A, devuelve en silencio la abreviatura de la alcaldía anterior en orden alfabético, y con ella un ID falso. Además [#ALL] mete la fila de encabezado dentro del rango de búsqueda.</t>
        </is>
      </c>
      <c r="H3" s="22" t="inlineStr">
        <is>
          <t>=VLOOKUP($O2,Alcaldias,2,FALSE)</t>
        </is>
      </c>
      <c r="I3" s="22" t="inlineStr">
        <is>
          <t>Hoy los trece códigos salen bien —la comparación de texto de Excel ignora mayúsculas, así que «Miguel hidalgo» todavía encuentra «Miguel Hidalgo»—. El defecto es que no hay red: el día que alguien escriba mal una alcaldía no verá #N/A, verá una abreviatura plausible y un ID falso. Con FALSE el error se vuelve visible.</t>
        </is>
      </c>
      <c r="J3" s="20" t="inlineStr">
        <is>
          <t>SEDEMA</t>
        </is>
      </c>
    </row>
    <row r="4" ht="100" customHeight="1">
      <c r="A4" s="17" t="n">
        <v>3</v>
      </c>
      <c r="B4" s="18" t="inlineStr">
        <is>
          <t>Alta</t>
        </is>
      </c>
      <c r="C4" s="19" t="inlineStr">
        <is>
          <t>Estructura</t>
        </is>
      </c>
      <c r="D4" s="19" t="inlineStr">
        <is>
          <t>A2:A14</t>
        </is>
      </c>
      <c r="E4" s="19" t="inlineStr">
        <is>
          <t>ID</t>
        </is>
      </c>
      <c r="F4" s="19" t="inlineStr">
        <is>
          <t>=UPPER(CONCATENATE(MID(YEAR(G2),3,2);"-";P2;...))</t>
        </is>
      </c>
      <c r="G4" s="19" t="inlineStr">
        <is>
          <t>La llave primaria se recalcula sola. Depende de la fecha de nominación, la alcaldía, el género y el id taxonómico. Corregir cualquiera de esos cuatro campos renombra al árbol, rompe la carpeta de fotografías del sitio (assets/img/ejemplares/&lt;ID&gt;/) y invalida cualquier cita externa. G13 y G14 traen 01-ene, que es marcador de «solo sé el año»: si aparece la fecha real y cae en otro año, el ID cambia.</t>
        </is>
      </c>
      <c r="H4" s="19" t="inlineStr">
        <is>
          <t>Congelar el ID como valor fijo en cuanto se emite el decreto. Conservar la fórmula en una columna auxiliar «ID propuesto» solo para altas nuevas.</t>
        </is>
      </c>
      <c r="I4" s="19" t="inlineStr">
        <is>
          <t>El ID es el nombre de carpeta de las fotografías y el identificador público del ejemplar.</t>
        </is>
      </c>
      <c r="J4" s="17" t="inlineStr">
        <is>
          <t>SEDEMA</t>
        </is>
      </c>
    </row>
    <row r="5" ht="50" customHeight="1">
      <c r="A5" s="20" t="n">
        <v>4</v>
      </c>
      <c r="B5" s="21" t="inlineStr">
        <is>
          <t>Alta</t>
        </is>
      </c>
      <c r="C5" s="22" t="inlineStr">
        <is>
          <t>Datos</t>
        </is>
      </c>
      <c r="D5" s="22" t="inlineStr">
        <is>
          <t>BR11, BT9, BT11, BT13, BV11</t>
        </is>
      </c>
      <c r="E5" s="22" t="inlineStr">
        <is>
          <t>Emisiones evitadas</t>
        </is>
      </c>
      <c r="F5" s="22" t="inlineStr">
        <is>
          <t>12/05/2025 · 08/06/2025 · 03/02/2025 · 02/09/2025 · 11/02/2025</t>
        </is>
      </c>
      <c r="G5" s="22" t="inlineStr">
        <is>
          <t>Cinco celdas siguen siendo FECHAS donde debe haber un número. Son las que el sitio llegó a publicar como «12,052,025 kg de CO2 al año» para la Glorieta de Ahuehuetes.</t>
        </is>
      </c>
      <c r="H5" s="22" t="inlineStr">
        <is>
          <t>Vaciar las cinco celdas y volver a capturar el valor de la corrida de MyTree. Si no se recupera, dejarlas explícitamente sin dato.</t>
        </is>
      </c>
      <c r="I5" s="22" t="inlineStr">
        <is>
          <t>Verificado celda por celda: el tipo de dato de esas cinco celdas es fecha.</t>
        </is>
      </c>
      <c r="J5" s="20" t="inlineStr">
        <is>
          <t>SEDEMA</t>
        </is>
      </c>
    </row>
    <row r="6" ht="100" customHeight="1">
      <c r="A6" s="17" t="n">
        <v>5</v>
      </c>
      <c r="B6" s="18" t="inlineStr">
        <is>
          <t>Alta</t>
        </is>
      </c>
      <c r="C6" s="19" t="inlineStr">
        <is>
          <t>Estructura</t>
        </is>
      </c>
      <c r="D6" s="19" t="inlineStr">
        <is>
          <t>BR2:BV14</t>
        </is>
      </c>
      <c r="E6" s="19" t="inlineStr">
        <is>
          <t>Emisiones evitadas (5 columnas)</t>
        </is>
      </c>
      <c r="F6" s="19" t="inlineStr">
        <is>
          <t>24 celdas numéricas guardadas como TEXTO</t>
        </is>
      </c>
      <c r="G6" s="19" t="inlineStr">
        <is>
          <t>De las 65 celdas del bloque BR:BV solo seis son número de verdad —los cinco de Tacuba y BT8—; hay 24 valores numéricos guardados como texto y 5 fechas. Por eso se colaron las fechas y por eso ninguna suma o promedio funciona sobre esas columnas. La validación que exige «número y que no sea fecha» cubre AY y BG:BQ y se detiene justo antes de BR: las cinco columnas que quedaron fuera del rango validado son exactamente las cinco dañadas.</t>
        </is>
      </c>
      <c r="H6" s="19" t="inlineStr">
        <is>
          <t>Extender la validación existente a BR2:BV14 y reconvertir el bloque a número.</t>
        </is>
      </c>
      <c r="I6" s="19" t="inlineStr">
        <is>
          <t>Todas las columnas dentro del rango validado están limpias; ninguna fuera de él lo está.</t>
        </is>
      </c>
      <c r="J6" s="17" t="inlineStr">
        <is>
          <t>SEDEMA</t>
        </is>
      </c>
    </row>
    <row r="7" ht="112.5" customHeight="1">
      <c r="A7" s="20" t="n">
        <v>6</v>
      </c>
      <c r="B7" s="21" t="inlineStr">
        <is>
          <t>Alta</t>
        </is>
      </c>
      <c r="C7" s="22" t="inlineStr">
        <is>
          <t>Mediciones</t>
        </is>
      </c>
      <c r="D7" s="22" t="inlineStr">
        <is>
          <t>BH2:BH14</t>
        </is>
      </c>
      <c r="E7" s="22" t="inlineStr">
        <is>
          <t>Carbono secuestrado (kg/año)</t>
        </is>
      </c>
      <c r="F7" s="22" t="inlineStr">
        <is>
          <t>0.61 a 48.95</t>
        </is>
      </c>
      <c r="G7" s="22" t="inlineStr">
        <is>
          <t>La cifra no guarda relación con el tamaño del árbol: la correlación entre carbono y DAP es -0.30, negativa, cuando debería ser fuerte y positiva. Caso extremo: la Glorieta de Ahuehuetes (48.95 kg/año, DAP 92 cm) secuestra 80 veces más que el Sabino de San Juan (0.61 kg/año, DAP 590 cm), que es el árbol más grueso del padrón. Además, 0.61-2.72 kg/año para árboles de 17 a 30 m queda uno o dos órdenes de magnitud por debajo de lo que reporta i-Tree para arbolado de ese porte.</t>
        </is>
      </c>
      <c r="H7" s="22" t="inlineStr">
        <is>
          <t>Volver a correr MyTree para los trece con los mismos parámetros y registrar la fecha de corrida y las unidades de salida (lb o kg).</t>
        </is>
      </c>
      <c r="I7" s="22" t="inlineStr">
        <is>
          <t>Correlación calculada sobre los trece renglones.</t>
        </is>
      </c>
      <c r="J7" s="20" t="inlineStr">
        <is>
          <t>SEDEMA</t>
        </is>
      </c>
    </row>
    <row r="8" ht="62.5" customHeight="1">
      <c r="A8" s="17" t="n">
        <v>7</v>
      </c>
      <c r="B8" s="18" t="inlineStr">
        <is>
          <t>Alta</t>
        </is>
      </c>
      <c r="C8" s="19" t="inlineStr">
        <is>
          <t>Mediciones</t>
        </is>
      </c>
      <c r="D8" s="19" t="inlineStr">
        <is>
          <t>BI2:BI14</t>
        </is>
      </c>
      <c r="E8" s="19" t="inlineStr">
        <is>
          <t>Absorción de CO2 equivalente</t>
        </is>
      </c>
      <c r="F8" s="19" t="inlineStr">
        <is>
          <t>= BH x 3.667 en los trece</t>
        </is>
      </c>
      <c r="G8" s="19" t="inlineStr">
        <is>
          <t>No es una medición independiente: el cociente BI/BH es 3.655-3.681 en los trece renglones, que es la razón de pesos moleculares CO2/C (44/12 = 3.667). Publicar las dos como beneficios distintos duplica la cuenta, y BI hereda cualquier error de BH.</t>
        </is>
      </c>
      <c r="H8" s="19" t="inlineStr">
        <is>
          <t>Declarar BI como columna derivada y convertirla en fórmula (=BH2*44/12), o publicar solo una de las dos.</t>
        </is>
      </c>
      <c r="I8" s="19" t="inlineStr">
        <is>
          <t>Verificado en los trece renglones.</t>
        </is>
      </c>
      <c r="J8" s="17" t="inlineStr">
        <is>
          <t>SEDEMA</t>
        </is>
      </c>
    </row>
    <row r="9" ht="87.5" customHeight="1">
      <c r="A9" s="20" t="n">
        <v>8</v>
      </c>
      <c r="B9" s="21" t="inlineStr">
        <is>
          <t>Alta</t>
        </is>
      </c>
      <c r="C9" s="22" t="inlineStr">
        <is>
          <t>Mediciones</t>
        </is>
      </c>
      <c r="D9" s="22" t="inlineStr">
        <is>
          <t>Filas 11 a 14</t>
        </is>
      </c>
      <c r="E9" s="22" t="inlineStr">
        <is>
          <t>Remoción de contaminantes</t>
        </is>
      </c>
      <c r="F9" s="22" t="inlineStr">
        <is>
          <t>SO2 816-1265 g/año contra 4-223 g/año en el resto</t>
        </is>
      </c>
      <c r="G9" s="22" t="inlineStr">
        <is>
          <t>Los renglones 11 a 14 (Glorieta, Juarista, Laureano, Eugenio) fueron calculados con otra configuración. La remoción debería crecer con el área foliar: con los trece renglones la correlación entre ozono y área de copa es -0.04; excluyendo esos cuatro renglones sube a +0.71. Son además los únicos cuatro que usan «S/D» y los que concentran los beneficios económicos más altos.</t>
        </is>
      </c>
      <c r="H9" s="22" t="inlineStr">
        <is>
          <t>Recalcular los trece ejemplares en una sola corrida, con la misma ubicación de referencia y el mismo año de datos de calidad del aire.</t>
        </is>
      </c>
      <c r="I9" s="22" t="inlineStr">
        <is>
          <t>Correlaciones calculadas con y sin esos cuatro renglones.</t>
        </is>
      </c>
      <c r="J9" s="20" t="inlineStr">
        <is>
          <t>SEDEMA</t>
        </is>
      </c>
    </row>
    <row r="10" ht="112.5" customHeight="1">
      <c r="A10" s="17" t="n">
        <v>9</v>
      </c>
      <c r="B10" s="18" t="inlineStr">
        <is>
          <t>Alta</t>
        </is>
      </c>
      <c r="C10" s="19" t="inlineStr">
        <is>
          <t>Mediciones</t>
        </is>
      </c>
      <c r="D10" s="19" t="inlineStr">
        <is>
          <t>BK8</t>
        </is>
      </c>
      <c r="E10" s="19" t="inlineStr">
        <is>
          <t>Precipitación interceptada</t>
        </is>
      </c>
      <c r="F10" s="19" t="inlineStr">
        <is>
          <t>610,049.54 litros/año</t>
        </is>
      </c>
      <c r="G10" s="19" t="inlineStr">
        <is>
          <t>Físicamente imposible. Dividida entre el área de copa del Sabino de San Juan (363 m²) da 1,680 litros por m², es decir 1,680 mm de lluvia sobre la copa. La precipitación normal anual en las alcaldías planas de la Ciudad es del orden de 600 a 900 mm. El árbol no puede interceptar dos o tres veces la lluvia que le cae encima. En el otro extremo Santa Catarina intercepta 71 mm equivalentes: el padrón va del 10 % al 260 % de la lluvia incidente.</t>
        </is>
      </c>
      <c r="H10" s="19" t="inlineStr">
        <is>
          <t>Verificar la unidad de BJ y BK contra la salida literal de MyTree antes de publicarlas. Contrastar con la normal climatológica de la estación del SMN más cercana.</t>
        </is>
      </c>
      <c r="I10" s="19" t="inlineStr">
        <is>
          <t>Área de copa calculada con la extensión de copa del propio registro.</t>
        </is>
      </c>
      <c r="J10" s="17" t="inlineStr">
        <is>
          <t>SEDEMA</t>
        </is>
      </c>
    </row>
    <row r="11" ht="62.5" customHeight="1">
      <c r="A11" s="20" t="n">
        <v>10</v>
      </c>
      <c r="B11" s="21" t="inlineStr">
        <is>
          <t>Alta</t>
        </is>
      </c>
      <c r="C11" s="22" t="inlineStr">
        <is>
          <t>Mediciones</t>
        </is>
      </c>
      <c r="D11" s="22" t="inlineStr">
        <is>
          <t>BJ y BK</t>
        </is>
      </c>
      <c r="E11" s="22" t="inlineStr">
        <is>
          <t>Escorrentía e interceptación</t>
        </is>
      </c>
      <c r="F11" s="22" t="inlineStr">
        <is>
          <t>razón constante 711:1 a 728:1</t>
        </is>
      </c>
      <c r="G11" s="22" t="inlineStr">
        <is>
          <t>La razón entre precipitación interceptada y disminución de escorrentía es prácticamente idéntica en los cinco renglones con dato. Eso indica un factor fijo de la herramienta o un error de unidad, no dos mediciones independientes.</t>
        </is>
      </c>
      <c r="H11" s="22" t="inlineStr">
        <is>
          <t>Confirmar qué unidad entrega MyTree en cada campo (litros, galones o metros cúbicos) y convertir una sola vez.</t>
        </is>
      </c>
      <c r="I11" s="22" t="inlineStr">
        <is>
          <t>Calculado sobre los cinco renglones con dato en ambas columnas.</t>
        </is>
      </c>
      <c r="J11" s="20" t="inlineStr">
        <is>
          <t>SEDEMA</t>
        </is>
      </c>
    </row>
    <row r="12" ht="50" customHeight="1">
      <c r="A12" s="17" t="n">
        <v>11</v>
      </c>
      <c r="B12" s="18" t="inlineStr">
        <is>
          <t>Alta</t>
        </is>
      </c>
      <c r="C12" s="19" t="inlineStr">
        <is>
          <t>Mediciones</t>
        </is>
      </c>
      <c r="D12" s="19" t="inlineStr">
        <is>
          <t>BR8, BS8, BT8, BU8</t>
        </is>
      </c>
      <c r="E12" s="19" t="inlineStr">
        <is>
          <t>Emisiones evitadas · Sabino de San Juan</t>
        </is>
      </c>
      <c r="F12" s="19" t="inlineStr">
        <is>
          <t>-107.11 kg · -17.69 g · -19.00 g · -195.08 g</t>
        </is>
      </c>
      <c r="G12" s="19" t="inlineStr">
        <is>
          <t>Cuatro valores negativos en el único árbol donde además el ahorro eléctrico es positivo (+24.21 kWh). Publicado tal cual, se lee como que el árbol perjudica al clima.</t>
        </is>
      </c>
      <c r="H12" s="19" t="inlineStr">
        <is>
          <t>Volver a correr ese ejemplar. Si el resultado negativo se confirma, explicarlo en la ficha o no publicar el campo.</t>
        </is>
      </c>
      <c r="I12" s="19" t="inlineStr">
        <is>
          <t>Contradicción interna entre BQ8 y BR8:BU8 de la misma corrida.</t>
        </is>
      </c>
      <c r="J12" s="17" t="inlineStr">
        <is>
          <t>SEDEMA</t>
        </is>
      </c>
    </row>
    <row r="13" ht="75" customHeight="1">
      <c r="A13" s="20" t="n">
        <v>12</v>
      </c>
      <c r="B13" s="21" t="inlineStr">
        <is>
          <t>Alta</t>
        </is>
      </c>
      <c r="C13" s="22" t="inlineStr">
        <is>
          <t>Mediciones</t>
        </is>
      </c>
      <c r="D13" s="22" t="inlineStr">
        <is>
          <t>BG1 y BG2:BG14</t>
        </is>
      </c>
      <c r="E13" s="22" t="inlineStr">
        <is>
          <t>Beneficio economico estimado ($/año)</t>
        </is>
      </c>
      <c r="F13" s="22" t="inlineStr">
        <is>
          <t>129.09 a 6,077.01, sin moneda declarada</t>
        </is>
      </c>
      <c r="G13" s="22" t="inlineStr">
        <is>
          <t>El encabezado no dice la moneda. MyTree reporta en dólares; si el sitio lo publica como pesos el error es de 17 a 20 veces. El orden además está invertido respecto al tamaño: la correlación entre beneficio y DAP es -0.50; el Sabino, el árbol más grande, reporta 129 al año y Eugenio, con 122 cm de DAP, reporta 6,077.</t>
        </is>
      </c>
      <c r="H13" s="22" t="inlineStr">
        <is>
          <t>Declarar moneda y año de referencia en el encabezado (por ejemplo «Beneficio económico estimado (USD/año, corrida 2025)») y recalcular junto con el resto del bloque.</t>
        </is>
      </c>
      <c r="I13" s="22" t="inlineStr">
        <is>
          <t>Correlación calculada sobre los trece renglones.</t>
        </is>
      </c>
      <c r="J13" s="20" t="inlineStr">
        <is>
          <t>SEDEMA</t>
        </is>
      </c>
    </row>
    <row r="14" ht="62.5" customHeight="1">
      <c r="A14" s="17" t="n">
        <v>13</v>
      </c>
      <c r="B14" s="23" t="inlineStr">
        <is>
          <t>Media</t>
        </is>
      </c>
      <c r="C14" s="19" t="inlineStr">
        <is>
          <t>Norma</t>
        </is>
      </c>
      <c r="D14" s="19" t="inlineStr">
        <is>
          <t>X3, X5, X6, X12, X13, X14</t>
        </is>
      </c>
      <c r="E14" s="19" t="inlineStr">
        <is>
          <t>Tipo de ubicación</t>
        </is>
      </c>
      <c r="F14" s="19" t="inlineStr">
        <is>
          <t>«Jardín de San Fernando», «Parque España», «Plaza Luis Pasteur», «Interior del predio con numero 28»…</t>
        </is>
      </c>
      <c r="G14" s="19" t="inlineStr">
        <is>
          <t>Seis de trece renglones están fuera del catálogo. La columna mezcla el catálogo con nombres propios y con texto libre, lo que impide filtrar y agrupar en el sitio.</t>
        </is>
      </c>
      <c r="H14" s="19" t="inlineStr">
        <is>
          <t>X3 y X5 → Parque · X6 → Parque · X12 → Plaza · X13 → Banqueta · X14 → Propiedad privada. El nombre propio pasa a la columna Referencias (W).</t>
        </is>
      </c>
      <c r="I14" s="19" t="inlineStr">
        <is>
          <t>NADF-001-RNAT-2015, Anexo 1, apartado 4: Banqueta, Camellón, Glorieta, Parque, Arriate, Plaza, Propiedad Privada, Obra Civil, Otro. El Anexo 2, lineamiento 3, añade Jardinera.</t>
        </is>
      </c>
      <c r="J14" s="17" t="inlineStr">
        <is>
          <t>SEDEMA</t>
        </is>
      </c>
    </row>
    <row r="15" ht="75" customHeight="1">
      <c r="A15" s="20" t="n">
        <v>14</v>
      </c>
      <c r="B15" s="24" t="inlineStr">
        <is>
          <t>Media</t>
        </is>
      </c>
      <c r="C15" s="22" t="inlineStr">
        <is>
          <t>Norma</t>
        </is>
      </c>
      <c r="D15" s="22" t="inlineStr">
        <is>
          <t>BC2:BC14</t>
        </is>
      </c>
      <c r="E15" s="22" t="inlineStr">
        <is>
          <t>Condición general</t>
        </is>
      </c>
      <c r="F15" s="22" t="inlineStr">
        <is>
          <t>«Buena» en 12 de 13</t>
        </is>
      </c>
      <c r="G15" s="22" t="inlineStr">
        <is>
          <t>Género equivocado respecto al catálogo. La norma usa masculino para la condición y femenino para la estructura; la hoja usa femenino en las dos.</t>
        </is>
      </c>
      <c r="H15" s="22" t="inlineStr">
        <is>
          <t>Sustituir «Buena» por «Bueno» en BC. La columna BD (Estructura) sí está bien: «Buena» y «Susceptible de mejora» son los términos exactos del catálogo.</t>
        </is>
      </c>
      <c r="I15" s="22" t="inlineStr">
        <is>
          <t>NADF-001-RNAT-2015, Anexo 1, apartado 16 (Muy bueno · Bueno · Declinante incipiente · Declinante severo · Muerto) frente al apartado 14 (Irrecuperable · Susceptible de mejora · Buena · Muy buena).</t>
        </is>
      </c>
      <c r="J15" s="20" t="inlineStr">
        <is>
          <t>SEDEMA</t>
        </is>
      </c>
    </row>
    <row r="16" ht="150" customHeight="1">
      <c r="A16" s="17" t="n">
        <v>15</v>
      </c>
      <c r="B16" s="23" t="inlineStr">
        <is>
          <t>Media</t>
        </is>
      </c>
      <c r="C16" s="19" t="inlineStr">
        <is>
          <t>Norma</t>
        </is>
      </c>
      <c r="D16" s="19" t="inlineStr">
        <is>
          <t>BF2:BF14</t>
        </is>
      </c>
      <c r="E16" s="19" t="inlineStr">
        <is>
          <t>Expectativa de vida</t>
        </is>
      </c>
      <c r="F16" s="19" t="inlineStr">
        <is>
          <t>«Mas de 40» en 12 renglones</t>
        </is>
      </c>
      <c r="G16" s="19" t="inlineStr">
        <is>
          <t>No coincide con el catálogo de la norma: falta el acento y falta la palabra «años». El renglón 14 sí dice «De 21 a 40 años», con lo que la columna usa dos formatos distintos.</t>
        </is>
      </c>
      <c r="H16" s="19" t="inlineStr">
        <is>
          <t>Elegir UNA de las dos redacciones de la norma y usarla en los trece. Recomiendo la del ANEXO 3, que es la que trae la palabra «años» en los cuatro escalones: «Hasta 5 años», «6 a 20 años», «21 a 40 años», «Más de 40 años». Con eso BF2:BF13 solo necesita el acento y BF14 pierde el «De».</t>
        </is>
      </c>
      <c r="I16" s="19" t="inlineStr">
        <is>
          <t>La norma da el mismo catálogo con dos redacciones distintas: ANEXO 1 «Dictamen técnico», apartado (15) Valoración del árbol, casilla Expectativa de vida —«5 años · 6 a 20 · 21 a 40 · Más de 40»— y ANEXO 3 «Valoración para la restitución de árboles urbanos», factor 5 —«Hasta 5 años · 6 a 20 años · 21 a 40 años · Más de 40 años»—. Verificado contra el texto publicado en la Gaceta Oficial de la Ciudad de México del 1° de abril de 2016.</t>
        </is>
      </c>
      <c r="J16" s="17" t="inlineStr">
        <is>
          <t>SEDEMA</t>
        </is>
      </c>
    </row>
    <row r="17" ht="100" customHeight="1">
      <c r="A17" s="20" t="n">
        <v>16</v>
      </c>
      <c r="B17" s="24" t="inlineStr">
        <is>
          <t>Media</t>
        </is>
      </c>
      <c r="C17" s="22" t="inlineStr">
        <is>
          <t>Norma</t>
        </is>
      </c>
      <c r="D17" s="22" t="inlineStr">
        <is>
          <t>BB2:BB14</t>
        </is>
      </c>
      <c r="E17" s="22" t="inlineStr">
        <is>
          <t>Extensión de copa</t>
        </is>
      </c>
      <c r="F17" s="22" t="inlineStr">
        <is>
          <t>=(BA2+AZ2)/2</t>
        </is>
      </c>
      <c r="G17" s="22" t="inlineStr">
        <is>
          <t>La fórmula de la hoja es correcta: es el promedio que pide el formato del Anexo 1 («Ancho de la copa / Largo de la copa → Promedio»). Pero el lineamiento 5 de ese mismo Anexo dice literalmente que «el diámetro de la copa se calculará multiplicando ancho por largo entre dos», lo que leído al pie de la letra da un área entre dos, no un diámetro. La norma está mal redactada, no la hoja.</t>
        </is>
      </c>
      <c r="H17" s="22" t="inlineStr">
        <is>
          <t>No cambiar la fórmula. Dejar constancia del criterio en la metodología del sitio, porque un tercero puede impugnar la cifra citando el texto literal del lineamiento.</t>
        </is>
      </c>
      <c r="I17" s="22" t="inlineStr">
        <is>
          <t>NADF-001-RNAT-2015, Anexo 1, formato (apartado 5) frente al lineamiento 5 de llenado.</t>
        </is>
      </c>
      <c r="J17" s="20" t="inlineStr">
        <is>
          <t>SEDEMA</t>
        </is>
      </c>
    </row>
    <row r="18" ht="50" customHeight="1">
      <c r="A18" s="17" t="n">
        <v>17</v>
      </c>
      <c r="B18" s="23" t="inlineStr">
        <is>
          <t>Media</t>
        </is>
      </c>
      <c r="C18" s="19" t="inlineStr">
        <is>
          <t>Consistencia</t>
        </is>
      </c>
      <c r="D18" s="19" t="inlineStr">
        <is>
          <t>AZ1 y BA1</t>
        </is>
      </c>
      <c r="E18" s="19" t="inlineStr">
        <is>
          <t>Ancho y largo de copa</t>
        </is>
      </c>
      <c r="F18" s="19" t="inlineStr">
        <is>
          <t>«Ancho de copa (eje mayor)» / «Largo de copa (eje menor)»</t>
        </is>
      </c>
      <c r="G18" s="19" t="inlineStr">
        <is>
          <t>Los rótulos están invertidos en 6 de 13 renglones: el supuesto eje mayor es menor que el supuesto eje menor en las filas 2, 4, 5, 6, 11 y 13. Como BB es el promedio, la cifra publicada no cambia; el rótulo sí es falso.</t>
        </is>
      </c>
      <c r="H18" s="19" t="inlineStr">
        <is>
          <t>Renombrar a «Ancho de copa (m)» y «Largo de copa (m)», sin la etiqueta de eje.</t>
        </is>
      </c>
      <c r="I18" s="19" t="inlineStr">
        <is>
          <t>Comprobado renglón por renglón.</t>
        </is>
      </c>
      <c r="J18" s="17" t="inlineStr">
        <is>
          <t>SEDEMA</t>
        </is>
      </c>
    </row>
    <row r="19" ht="250" customHeight="1">
      <c r="A19" s="20" t="n">
        <v>18</v>
      </c>
      <c r="B19" s="24" t="inlineStr">
        <is>
          <t>Media</t>
        </is>
      </c>
      <c r="C19" s="22" t="inlineStr">
        <is>
          <t>Mediciones</t>
        </is>
      </c>
      <c r="D19" s="22" t="inlineStr">
        <is>
          <t>AX2:AX14</t>
        </is>
      </c>
      <c r="E19" s="22" t="inlineStr">
        <is>
          <t>Diámetro del tronco (DAP)</t>
        </is>
      </c>
      <c r="F19" s="22" t="inlineStr">
        <is>
          <t>90 a 590 cm</t>
        </is>
      </c>
      <c r="G19" s="22" t="inlineStr">
        <is>
          <t>Hay que verificar si algún renglón trae PERÍMETRO en lugar de diámetro. La esbeltez (altura/DAP) se separa en tres grupos: 4.2-6.1 (Sabino, Churubusco, Tacuba, Viejo del Agua), 13.6-19.9 (seis ejemplares) y 24.6-25.6 (Glorieta, Laureano, Eugenio). Un factor de seis entre extremos. La propia norma prevé el escenario: el lineamiento 5 del Anexo 1 admite que el dictaminador puede carecer de cinta diamétrica, que es justo cuando se anota el perímetro.</t>
        </is>
      </c>
      <c r="H19" s="22" t="inlineStr">
        <is>
          <t>Confirmar el instrumento con que se midió cada ejemplar. Un DAP de 590 cm implica 18.5 m de circunferencia en el Sabino de San Juan: si es correcto es uno de los árboles más gruesos del país y el sitio lo está subestimando; si es perímetro, el DAP real es 188 cm.</t>
        </is>
      </c>
      <c r="I19" s="22" t="inlineStr">
        <is>
          <t>NADF-001-RNAT-2015, numeral 4 Definiciones: «Diámetro de tronco a la altura del pecho (DAP).- Grosor del tronco medido a 1.30 metros a partir del cuello de la raíz». Lineamientos de llenado del formato de levantamiento, numeral 5: el DAP se anota en centímetros. OJO: la norma se contradice a sí misma sobre el punto de origen. El ANEXO 1 pide el dato como «Diámetro del tronco (a 1.30 m del nivel del suelo)» y el ANEXO 3, factor 2, como «Diámetro del tronco en cm a 1.30 m desde el suelo»: dos de las tres menciones dicen nivel del suelo y la definición dice cuello de la raíz. En un ahuehuete con la base ensanchada la diferencia entre los dos criterios es de decenas de centímetros. Conviene declarar en la metodología del sitio cuál se usó.</t>
        </is>
      </c>
      <c r="J19" s="20" t="inlineStr">
        <is>
          <t>SEDEMA</t>
        </is>
      </c>
    </row>
    <row r="20" ht="50" customHeight="1">
      <c r="A20" s="17" t="n">
        <v>19</v>
      </c>
      <c r="B20" s="23" t="inlineStr">
        <is>
          <t>Media</t>
        </is>
      </c>
      <c r="C20" s="19" t="inlineStr">
        <is>
          <t>Fórmulas</t>
        </is>
      </c>
      <c r="D20" s="19" t="inlineStr">
        <is>
          <t>AY2:AY14</t>
        </is>
      </c>
      <c r="E20" s="19" t="inlineStr">
        <is>
          <t>Circunferencia del tronco</t>
        </is>
      </c>
      <c r="F20" s="19" t="inlineStr">
        <is>
          <t>=PI()*AX2</t>
        </is>
      </c>
      <c r="G20" s="19" t="inlineStr">
        <is>
          <t>Columna redundante: no aporta información, es π por el DAP. Y hereda el riesgo anterior: si algún AX fuera ya un perímetro, la circunferencia queda inflada π² ≈ 9.9 veces.</t>
        </is>
      </c>
      <c r="H20" s="19" t="inlineStr">
        <is>
          <t>Marcarla como derivada o calcularla al vuelo en el sitio, para que nadie la capture a mano y contradiga al DAP.</t>
        </is>
      </c>
      <c r="I20" s="19" t="inlineStr">
        <is>
          <t>C = π · d solo es válido si d es un diámetro.</t>
        </is>
      </c>
      <c r="J20" s="17" t="inlineStr">
        <is>
          <t>SEDEMA</t>
        </is>
      </c>
    </row>
    <row r="21" ht="75" customHeight="1">
      <c r="A21" s="20" t="n">
        <v>20</v>
      </c>
      <c r="B21" s="24" t="inlineStr">
        <is>
          <t>Media</t>
        </is>
      </c>
      <c r="C21" s="22" t="inlineStr">
        <is>
          <t>Datos</t>
        </is>
      </c>
      <c r="D21" s="22" t="inlineStr">
        <is>
          <t>H8:K8 y H14:K14</t>
        </is>
      </c>
      <c r="E21" s="22" t="inlineStr">
        <is>
          <t>Categorías</t>
        </is>
      </c>
      <c r="F21" s="22" t="inlineStr">
        <is>
          <t>sin ninguna categoría</t>
        </is>
      </c>
      <c r="G21" s="22" t="inlineStr">
        <is>
          <t>El Sabino de San Juan y Eugenio no tienen categoría asignada. La columna L (TEXTJOIN) devuelve cadena vacía y el sitio rinde el campo en blanco. La validación además es dispareja: H solo acepta «CENTENARIO», I acepta «HISTÓRICO,NA» con un valor «NA» que nunca se usa, y J y K no tienen validación alguna.</t>
        </is>
      </c>
      <c r="H21" s="22" t="inlineStr">
        <is>
          <t>Asignar categoría a los dos ejemplares y homologar la validación de las cuatro columnas.</t>
        </is>
      </c>
      <c r="I21" s="22" t="inlineStr">
        <is>
          <t>Un árbol declarado patrimonial debe tener al menos una de las cuatro categorías.</t>
        </is>
      </c>
      <c r="J21" s="20" t="inlineStr">
        <is>
          <t>SEDEMA</t>
        </is>
      </c>
    </row>
    <row r="22" ht="37.5" customHeight="1">
      <c r="A22" s="17" t="n">
        <v>21</v>
      </c>
      <c r="B22" s="23" t="inlineStr">
        <is>
          <t>Media</t>
        </is>
      </c>
      <c r="C22" s="19" t="inlineStr">
        <is>
          <t>Datos</t>
        </is>
      </c>
      <c r="D22" s="19" t="inlineStr">
        <is>
          <t>M8 y N8</t>
        </is>
      </c>
      <c r="E22" s="19" t="inlineStr">
        <is>
          <t>Fecha y link del decreto</t>
        </is>
      </c>
      <c r="F22" s="19" t="inlineStr">
        <is>
          <t>vacías</t>
        </is>
      </c>
      <c r="G22" s="19" t="inlineStr">
        <is>
          <t>El Sabino de San Juan es el único ejemplar sin decreto. Si el decreto aún no se emite, el ejemplar no debería figurar en un listado de árboles DECLARADOS.</t>
        </is>
      </c>
      <c r="H22" s="19" t="inlineStr">
        <is>
          <t>Agregar una columna de estatus (nominado / en dictamen / declarado) y filtrar el sitio por «declarado».</t>
        </is>
      </c>
      <c r="I22" s="19" t="inlineStr">
        <is>
          <t>El listado se publica como padrón de árboles patrimoniales declarados.</t>
        </is>
      </c>
      <c r="J22" s="17" t="inlineStr">
        <is>
          <t>SEDEMA</t>
        </is>
      </c>
    </row>
    <row r="23" ht="50" customHeight="1">
      <c r="A23" s="20" t="n">
        <v>22</v>
      </c>
      <c r="B23" s="24" t="inlineStr">
        <is>
          <t>Media</t>
        </is>
      </c>
      <c r="C23" s="22" t="inlineStr">
        <is>
          <t>Consistencia</t>
        </is>
      </c>
      <c r="D23" s="22" t="inlineStr">
        <is>
          <t>N7 y N13</t>
        </is>
      </c>
      <c r="E23" s="22" t="inlineStr">
        <is>
          <t>Link al decreto</t>
        </is>
      </c>
      <c r="F23" s="22" t="inlineStr">
        <is>
          <t>DECRETO VIEJO DL AGUA LAUREANO.pdf</t>
        </is>
      </c>
      <c r="G23" s="22" t="inlineStr">
        <is>
          <t>Un mismo decreto ampara dos ejemplares, con la misma fecha (04/08/2025). Es congruente: el nombre del archivo menciona a los dos. Pero trae la errata «DL» por «DEL», y el nombre del archivo queda en la URL pública.</t>
        </is>
      </c>
      <c r="H23" s="22" t="inlineStr">
        <is>
          <t>Renombrar a DECRETO_VIEJO_DEL_AGUA_LAUREANO.pdf y actualizar las dos celdas.</t>
        </is>
      </c>
      <c r="I23" s="22" t="inlineStr">
        <is>
          <t>Verificado: mismo archivo y misma fecha en las dos filas.</t>
        </is>
      </c>
      <c r="J23" s="20" t="inlineStr">
        <is>
          <t>SEDEMA</t>
        </is>
      </c>
    </row>
    <row r="24" ht="62.5" customHeight="1">
      <c r="A24" s="17" t="n">
        <v>23</v>
      </c>
      <c r="B24" s="23" t="inlineStr">
        <is>
          <t>Media</t>
        </is>
      </c>
      <c r="C24" s="19" t="inlineStr">
        <is>
          <t>Estructura</t>
        </is>
      </c>
      <c r="D24" s="19" t="inlineStr">
        <is>
          <t>AS2:AT14</t>
        </is>
      </c>
      <c r="E24" s="19" t="inlineStr">
        <is>
          <t>urlejemplar / urlorigen</t>
        </is>
      </c>
      <c r="F24" s="19" t="inlineStr">
        <is>
          <t>idénticas en los trece</t>
        </is>
      </c>
      <c r="G24" s="19" t="inlineStr">
        <is>
          <t>Son VLOOKUP sobre la ESPECIE, no sobre el ejemplar: devuelven la ficha de Taxodium mucronatum, no la de este árbol. Que sean idénticas no es un error de captura, es el diseño de la fórmula. El encabezado engaña al lector.</t>
        </is>
      </c>
      <c r="H24" s="19" t="inlineStr">
        <is>
          <t>Renombrar a «urlespecie» y «urlorigenespecie», o retirarlas del conjunto publicado.</t>
        </is>
      </c>
      <c r="I24" s="19" t="inlineStr">
        <is>
          <t>Ambas resuelven contra CGO_TAXONÓMICO usando D (especievalida) como llave.</t>
        </is>
      </c>
      <c r="J24" s="17" t="inlineStr">
        <is>
          <t>SEDEMA</t>
        </is>
      </c>
    </row>
    <row r="25" ht="37.5" customHeight="1">
      <c r="A25" s="20" t="n">
        <v>24</v>
      </c>
      <c r="B25" s="24" t="inlineStr">
        <is>
          <t>Media</t>
        </is>
      </c>
      <c r="C25" s="22" t="inlineStr">
        <is>
          <t>Estructura</t>
        </is>
      </c>
      <c r="D25" s="22" t="inlineStr">
        <is>
          <t>BW2:BW14</t>
        </is>
      </c>
      <c r="E25" s="22" t="inlineStr">
        <is>
          <t>Link i-Tree</t>
        </is>
      </c>
      <c r="F25" s="22" t="inlineStr">
        <is>
          <t>«MyTree» en los trece</t>
        </is>
      </c>
      <c r="G25" s="22" t="inlineStr">
        <is>
          <t>No es un enlace, es el nombre de la herramienta. MyTree no genera una URL por árbol, de modo que este campo nunca podrá cumplir lo que promete su encabezado.</t>
        </is>
      </c>
      <c r="H25" s="22" t="inlineStr">
        <is>
          <t>Sustituir por tres campos: herramienta, versión y fecha de corrida. Es lo que permite reproducir el cálculo.</t>
        </is>
      </c>
      <c r="I25" s="22" t="inlineStr">
        <is>
          <t>La hoja «Link» del propio libro guarda la URL genérica https://mytree.itreetools.org/#/</t>
        </is>
      </c>
      <c r="J25" s="20" t="inlineStr">
        <is>
          <t>SEDEMA</t>
        </is>
      </c>
    </row>
    <row r="26" ht="37.5" customHeight="1">
      <c r="A26" s="17" t="n">
        <v>25</v>
      </c>
      <c r="B26" s="23" t="inlineStr">
        <is>
          <t>Media</t>
        </is>
      </c>
      <c r="C26" s="19" t="inlineStr">
        <is>
          <t>Estructura</t>
        </is>
      </c>
      <c r="D26" s="19" t="inlineStr">
        <is>
          <t>AK2:AK14</t>
        </is>
      </c>
      <c r="E26" s="19" t="inlineStr">
        <is>
          <t>Origen</t>
        </is>
      </c>
      <c r="F26" s="19" t="inlineStr">
        <is>
          <t>vacía en los trece</t>
        </is>
      </c>
      <c r="G26" s="19" t="inlineStr">
        <is>
          <t>Columna con encabezado, sin dato y sin fórmula, en medio de un bloque de VLOOKUP. En un conjunto de datos abiertos una columna siempre vacía se lee como omisión.</t>
        </is>
      </c>
      <c r="H26" s="19" t="inlineStr">
        <is>
          <t>Llenarla o eliminarla.</t>
        </is>
      </c>
      <c r="I26" s="19" t="inlineStr">
        <is>
          <t>Sin correspondencia en el catálogo CGO_TAXONÓMICO.</t>
        </is>
      </c>
      <c r="J26" s="17" t="inlineStr">
        <is>
          <t>SEDEMA</t>
        </is>
      </c>
    </row>
    <row r="27" ht="50" customHeight="1">
      <c r="A27" s="20" t="n">
        <v>26</v>
      </c>
      <c r="B27" s="24" t="inlineStr">
        <is>
          <t>Media</t>
        </is>
      </c>
      <c r="C27" s="22" t="inlineStr">
        <is>
          <t>Consistencia</t>
        </is>
      </c>
      <c r="D27" s="22" t="inlineStr">
        <is>
          <t>BE, BJ, BK, BQ, BR, BS, BT, BU, BV</t>
        </is>
      </c>
      <c r="E27" s="22" t="inlineStr">
        <is>
          <t>Marcadores de dato faltante</t>
        </is>
      </c>
      <c r="F27" s="22" t="inlineStr">
        <is>
          <t>«No determinado» y «S/D» conviviendo</t>
        </is>
      </c>
      <c r="G27" s="22" t="inlineStr">
        <is>
          <t>Dos marcadores distintos para lo mismo: «No determinado» en las filas 3-6 y 8-10, «S/D» en las filas 11-14, más «No determinada» en Edad estimada. Cualquier lectura automática los cuenta como categorías distintas.</t>
        </is>
      </c>
      <c r="H27" s="22" t="inlineStr">
        <is>
          <t>Un solo marcador en todo el libro. Recomiendo dejar la celda vacía y que el sitio escriba el texto, que es lo que ya hace.</t>
        </is>
      </c>
      <c r="I27" s="22" t="inlineStr">
        <is>
          <t>Conteo por columna.</t>
        </is>
      </c>
      <c r="J27" s="20" t="inlineStr">
        <is>
          <t>SEDEMA</t>
        </is>
      </c>
    </row>
    <row r="28" ht="37.5" customHeight="1">
      <c r="A28" s="17" t="n">
        <v>27</v>
      </c>
      <c r="B28" s="23" t="inlineStr">
        <is>
          <t>Baja</t>
        </is>
      </c>
      <c r="C28" s="19" t="inlineStr">
        <is>
          <t>Ortografía</t>
        </is>
      </c>
      <c r="D28" s="19" t="inlineStr">
        <is>
          <t>O2</t>
        </is>
      </c>
      <c r="E28" s="19" t="inlineStr">
        <is>
          <t>Alcaldía</t>
        </is>
      </c>
      <c r="F28" s="19" t="inlineStr">
        <is>
          <t>Miguel hidalgo</t>
        </is>
      </c>
      <c r="G28" s="19" t="inlineStr">
        <is>
          <t>Minúscula en el nombre propio. Hoy funciona de casualidad porque VLOOKUP no distingue mayúsculas, pero se publica tal cual.</t>
        </is>
      </c>
      <c r="H28" s="19" t="inlineStr">
        <is>
          <t>Miguel Hidalgo</t>
        </is>
      </c>
      <c r="I28" s="19" t="inlineStr">
        <is>
          <t>Tabla Alcaldias del propio libro.</t>
        </is>
      </c>
      <c r="J28" s="17" t="inlineStr">
        <is>
          <t>SEDEMA</t>
        </is>
      </c>
    </row>
    <row r="29" ht="30" customHeight="1">
      <c r="A29" s="20" t="n">
        <v>28</v>
      </c>
      <c r="B29" s="24" t="inlineStr">
        <is>
          <t>Baja</t>
        </is>
      </c>
      <c r="C29" s="22" t="inlineStr">
        <is>
          <t>Ortografía</t>
        </is>
      </c>
      <c r="D29" s="22" t="inlineStr">
        <is>
          <t>E3</t>
        </is>
      </c>
      <c r="E29" s="22" t="inlineStr">
        <is>
          <t>Nombre asignado</t>
        </is>
      </c>
      <c r="F29" s="22" t="inlineStr">
        <is>
          <t>Jardin San Fernando</t>
        </is>
      </c>
      <c r="G29" s="22" t="inlineStr">
        <is>
          <t>Falta el acento.</t>
        </is>
      </c>
      <c r="H29" s="22" t="inlineStr">
        <is>
          <t>Jardín San Fernando</t>
        </is>
      </c>
      <c r="I29" s="22" t="inlineStr"/>
      <c r="J29" s="20" t="inlineStr">
        <is>
          <t>SEDEMA</t>
        </is>
      </c>
    </row>
    <row r="30" ht="30" customHeight="1">
      <c r="A30" s="17" t="n">
        <v>29</v>
      </c>
      <c r="B30" s="23" t="inlineStr">
        <is>
          <t>Baja</t>
        </is>
      </c>
      <c r="C30" s="19" t="inlineStr">
        <is>
          <t>Ortografía</t>
        </is>
      </c>
      <c r="D30" s="19" t="inlineStr">
        <is>
          <t>W6</t>
        </is>
      </c>
      <c r="E30" s="19" t="inlineStr">
        <is>
          <t>Referencias</t>
        </is>
      </c>
      <c r="F30" s="19" t="inlineStr">
        <is>
          <t>Dentro del parque españa sobre Av. sonora</t>
        </is>
      </c>
      <c r="G30" s="19" t="inlineStr">
        <is>
          <t>Dos nombres propios en minúscula y abreviatura innecesaria.</t>
        </is>
      </c>
      <c r="H30" s="19" t="inlineStr">
        <is>
          <t>Dentro del Parque España, sobre Avenida Sonora</t>
        </is>
      </c>
      <c r="I30" s="19" t="inlineStr"/>
      <c r="J30" s="17" t="inlineStr">
        <is>
          <t>SEDEMA</t>
        </is>
      </c>
    </row>
    <row r="31" ht="37.5" customHeight="1">
      <c r="A31" s="20" t="n">
        <v>30</v>
      </c>
      <c r="B31" s="24" t="inlineStr">
        <is>
          <t>Baja</t>
        </is>
      </c>
      <c r="C31" s="22" t="inlineStr">
        <is>
          <t>Ortografía</t>
        </is>
      </c>
      <c r="D31" s="22" t="inlineStr">
        <is>
          <t>W9</t>
        </is>
      </c>
      <c r="E31" s="22" t="inlineStr">
        <is>
          <t>Referencias</t>
        </is>
      </c>
      <c r="F31" s="22" t="inlineStr">
        <is>
          <t>Sobre baqueta del predio marcada con número 202</t>
        </is>
      </c>
      <c r="G31" s="22" t="inlineStr">
        <is>
          <t>«baqueta» por banqueta; falta de concordancia («el predio marcado»); el número no coincide con R9, que dice 202-A.</t>
        </is>
      </c>
      <c r="H31" s="22" t="inlineStr">
        <is>
          <t>Sobre banqueta del predio marcado con el número 202-A</t>
        </is>
      </c>
      <c r="I31" s="22" t="inlineStr"/>
      <c r="J31" s="20" t="inlineStr">
        <is>
          <t>SEDEMA</t>
        </is>
      </c>
    </row>
    <row r="32" ht="30" customHeight="1">
      <c r="A32" s="17" t="n">
        <v>31</v>
      </c>
      <c r="B32" s="23" t="inlineStr">
        <is>
          <t>Baja</t>
        </is>
      </c>
      <c r="C32" s="19" t="inlineStr">
        <is>
          <t>Ortografía</t>
        </is>
      </c>
      <c r="D32" s="19" t="inlineStr">
        <is>
          <t>W10</t>
        </is>
      </c>
      <c r="E32" s="19" t="inlineStr">
        <is>
          <t>Referencias</t>
        </is>
      </c>
      <c r="F32" s="19" t="inlineStr">
        <is>
          <t>Sobre el camellon ubicado…</t>
        </is>
      </c>
      <c r="G32" s="19" t="inlineStr">
        <is>
          <t>Falta el acento en camellón.</t>
        </is>
      </c>
      <c r="H32" s="19" t="inlineStr">
        <is>
          <t>Sobre el camellón ubicado…</t>
        </is>
      </c>
      <c r="I32" s="19" t="inlineStr"/>
      <c r="J32" s="17" t="inlineStr">
        <is>
          <t>SEDEMA</t>
        </is>
      </c>
    </row>
    <row r="33" ht="37.5" customHeight="1">
      <c r="A33" s="20" t="n">
        <v>32</v>
      </c>
      <c r="B33" s="24" t="inlineStr">
        <is>
          <t>Baja</t>
        </is>
      </c>
      <c r="C33" s="22" t="inlineStr">
        <is>
          <t>Ortografía</t>
        </is>
      </c>
      <c r="D33" s="22" t="inlineStr">
        <is>
          <t>X13</t>
        </is>
      </c>
      <c r="E33" s="22" t="inlineStr">
        <is>
          <t>Tipo de ubicación</t>
        </is>
      </c>
      <c r="F33" s="22" t="inlineStr">
        <is>
          <t>Sobre baqueta en esquina de Calle Miguel Laurent y Calle fresas</t>
        </is>
      </c>
      <c r="G33" s="22" t="inlineStr">
        <is>
          <t>«baqueta» por banqueta y «fresas» en minúscula, cuando U13 escribe «Calle Fresas».</t>
        </is>
      </c>
      <c r="H33" s="22" t="inlineStr">
        <is>
          <t>Banqueta (el detalle pasa a Referencias)</t>
        </is>
      </c>
      <c r="I33" s="22" t="inlineStr"/>
      <c r="J33" s="20" t="inlineStr">
        <is>
          <t>SEDEMA</t>
        </is>
      </c>
    </row>
    <row r="34" ht="30" customHeight="1">
      <c r="A34" s="17" t="n">
        <v>33</v>
      </c>
      <c r="B34" s="23" t="inlineStr">
        <is>
          <t>Baja</t>
        </is>
      </c>
      <c r="C34" s="19" t="inlineStr">
        <is>
          <t>Ortografía</t>
        </is>
      </c>
      <c r="D34" s="19" t="inlineStr">
        <is>
          <t>X14</t>
        </is>
      </c>
      <c r="E34" s="19" t="inlineStr">
        <is>
          <t>Tipo de ubicación</t>
        </is>
      </c>
      <c r="F34" s="19" t="inlineStr">
        <is>
          <t>Interior del predio con numero 28</t>
        </is>
      </c>
      <c r="G34" s="19" t="inlineStr">
        <is>
          <t>Falta el acento en número.</t>
        </is>
      </c>
      <c r="H34" s="19" t="inlineStr">
        <is>
          <t>Propiedad privada (el detalle pasa a Referencias)</t>
        </is>
      </c>
      <c r="I34" s="19" t="inlineStr"/>
      <c r="J34" s="17" t="inlineStr">
        <is>
          <t>SEDEMA</t>
        </is>
      </c>
    </row>
    <row r="35" ht="30" customHeight="1">
      <c r="A35" s="20" t="n">
        <v>34</v>
      </c>
      <c r="B35" s="24" t="inlineStr">
        <is>
          <t>Baja</t>
        </is>
      </c>
      <c r="C35" s="22" t="inlineStr">
        <is>
          <t>Ortografía</t>
        </is>
      </c>
      <c r="D35" s="22" t="inlineStr">
        <is>
          <t>U10</t>
        </is>
      </c>
      <c r="E35" s="22" t="inlineStr">
        <is>
          <t>Entre calle 1</t>
        </is>
      </c>
      <c r="F35" s="22" t="inlineStr">
        <is>
          <t>Avenida G. Peréz Valenzuela</t>
        </is>
      </c>
      <c r="G35" s="22" t="inlineStr">
        <is>
          <t>Acento mal colocado.</t>
        </is>
      </c>
      <c r="H35" s="22" t="inlineStr">
        <is>
          <t>Avenida G. Pérez Valenzuela</t>
        </is>
      </c>
      <c r="I35" s="22" t="inlineStr"/>
      <c r="J35" s="20" t="inlineStr">
        <is>
          <t>SEDEMA</t>
        </is>
      </c>
    </row>
    <row r="36" ht="30" customHeight="1">
      <c r="A36" s="17" t="n">
        <v>35</v>
      </c>
      <c r="B36" s="23" t="inlineStr">
        <is>
          <t>Baja</t>
        </is>
      </c>
      <c r="C36" s="19" t="inlineStr">
        <is>
          <t>Ortografía</t>
        </is>
      </c>
      <c r="D36" s="19" t="inlineStr">
        <is>
          <t>V8</t>
        </is>
      </c>
      <c r="E36" s="19" t="inlineStr">
        <is>
          <t>Entre calle 2</t>
        </is>
      </c>
      <c r="F36" s="19" t="inlineStr">
        <is>
          <t>Prolongación Josefa Ortiz de Dominguez</t>
        </is>
      </c>
      <c r="G36" s="19" t="inlineStr">
        <is>
          <t>Falta el acento.</t>
        </is>
      </c>
      <c r="H36" s="19" t="inlineStr">
        <is>
          <t>Prolongación Josefa Ortiz de Domínguez</t>
        </is>
      </c>
      <c r="I36" s="19" t="inlineStr"/>
      <c r="J36" s="17" t="inlineStr">
        <is>
          <t>SEDEMA</t>
        </is>
      </c>
    </row>
    <row r="37" ht="30" customHeight="1">
      <c r="A37" s="20" t="n">
        <v>36</v>
      </c>
      <c r="B37" s="24" t="inlineStr">
        <is>
          <t>Baja</t>
        </is>
      </c>
      <c r="C37" s="22" t="inlineStr">
        <is>
          <t>Ortografía</t>
        </is>
      </c>
      <c r="D37" s="22" t="inlineStr">
        <is>
          <t>F8</t>
        </is>
      </c>
      <c r="E37" s="22" t="inlineStr">
        <is>
          <t>Nominó</t>
        </is>
      </c>
      <c r="F37" s="22" t="inlineStr">
        <is>
          <t>SEDEMA-Fernando Venegas Rosas**</t>
        </is>
      </c>
      <c r="G37" s="22" t="inlineStr">
        <is>
          <t>Dos asteriscos sueltos que no remiten a ninguna nota dentro del libro.</t>
        </is>
      </c>
      <c r="H37" s="22" t="inlineStr">
        <is>
          <t>SEDEMA · Fernando Venegas Rosas (y trasladar la nota, si existe, a Observaciones)</t>
        </is>
      </c>
      <c r="I37" s="22" t="inlineStr"/>
      <c r="J37" s="20" t="inlineStr">
        <is>
          <t>SEDEMA</t>
        </is>
      </c>
    </row>
    <row r="38" ht="30" customHeight="1">
      <c r="A38" s="17" t="n">
        <v>37</v>
      </c>
      <c r="B38" s="23" t="inlineStr">
        <is>
          <t>Baja</t>
        </is>
      </c>
      <c r="C38" s="19" t="inlineStr">
        <is>
          <t>Ortografía</t>
        </is>
      </c>
      <c r="D38" s="19" t="inlineStr">
        <is>
          <t>F14</t>
        </is>
      </c>
      <c r="E38" s="19" t="inlineStr">
        <is>
          <t>Nominó</t>
        </is>
      </c>
      <c r="F38" s="19" t="inlineStr">
        <is>
          <t>Colectivo de Vecinos de Cerrada de Eugenia”</t>
        </is>
      </c>
      <c r="G38" s="19" t="inlineStr">
        <is>
          <t>Comilla de cierre huérfana, sin comilla de apertura.</t>
        </is>
      </c>
      <c r="H38" s="19" t="inlineStr">
        <is>
          <t>Colectivo de Vecinos de Cerrada de Eugenia</t>
        </is>
      </c>
      <c r="I38" s="19" t="inlineStr"/>
      <c r="J38" s="17" t="inlineStr">
        <is>
          <t>SEDEMA</t>
        </is>
      </c>
    </row>
    <row r="39" ht="30" customHeight="1">
      <c r="A39" s="20" t="n">
        <v>38</v>
      </c>
      <c r="B39" s="24" t="inlineStr">
        <is>
          <t>Baja</t>
        </is>
      </c>
      <c r="C39" s="22" t="inlineStr">
        <is>
          <t>Consistencia</t>
        </is>
      </c>
      <c r="D39" s="22" t="inlineStr">
        <is>
          <t>Z9</t>
        </is>
      </c>
      <c r="E39" s="22" t="inlineStr">
        <is>
          <t>Coordenadas UTM</t>
        </is>
      </c>
      <c r="F39" s="22" t="inlineStr">
        <is>
          <t>482098.49, 2139496.12.</t>
        </is>
      </c>
      <c r="G39" s="22" t="inlineStr">
        <is>
          <t>Punto final indebido dentro de un valor numérico.</t>
        </is>
      </c>
      <c r="H39" s="22" t="inlineStr">
        <is>
          <t>482098.49, 2139496.12</t>
        </is>
      </c>
      <c r="I39" s="22" t="inlineStr"/>
      <c r="J39" s="20" t="inlineStr">
        <is>
          <t>SEDEMA</t>
        </is>
      </c>
    </row>
    <row r="40" ht="30" customHeight="1">
      <c r="A40" s="17" t="n">
        <v>39</v>
      </c>
      <c r="B40" s="23" t="inlineStr">
        <is>
          <t>Baja</t>
        </is>
      </c>
      <c r="C40" s="19" t="inlineStr">
        <is>
          <t>Consistencia</t>
        </is>
      </c>
      <c r="D40" s="19" t="inlineStr">
        <is>
          <t>Z2, Z7, Z8, Z13, Z14</t>
        </is>
      </c>
      <c r="E40" s="19" t="inlineStr">
        <is>
          <t>Coordenadas UTM</t>
        </is>
      </c>
      <c r="F40" s="19" t="inlineStr">
        <is>
          <t>separador «;» frente a «,» en el resto</t>
        </is>
      </c>
      <c r="G40" s="19" t="inlineStr">
        <is>
          <t>Dos separadores distintos en la misma columna.</t>
        </is>
      </c>
      <c r="H40" s="19" t="inlineStr">
        <is>
          <t>Unificar en un solo separador para todo el padrón.</t>
        </is>
      </c>
      <c r="I40" s="19" t="inlineStr"/>
      <c r="J40" s="17" t="inlineStr">
        <is>
          <t>SEDEMA</t>
        </is>
      </c>
    </row>
    <row r="41" ht="30" customHeight="1">
      <c r="A41" s="20" t="n">
        <v>40</v>
      </c>
      <c r="B41" s="24" t="inlineStr">
        <is>
          <t>Baja</t>
        </is>
      </c>
      <c r="C41" s="22" t="inlineStr">
        <is>
          <t>Consistencia</t>
        </is>
      </c>
      <c r="D41" s="22" t="inlineStr">
        <is>
          <t>Y13 y Y14</t>
        </is>
      </c>
      <c r="E41" s="22" t="inlineStr">
        <is>
          <t>Coordenadas geográficas</t>
        </is>
      </c>
      <c r="F41" s="22" t="inlineStr">
        <is>
          <t>5 decimales frente a 6 en el resto</t>
        </is>
      </c>
      <c r="G41" s="22" t="inlineStr">
        <is>
          <t>Precisión dispareja: 5 decimales son ~1 m, 6 son ~0.1 m.</t>
        </is>
      </c>
      <c r="H41" s="22" t="inlineStr">
        <is>
          <t>Homologar a 6 decimales.</t>
        </is>
      </c>
      <c r="I41" s="22" t="inlineStr"/>
      <c r="J41" s="20" t="inlineStr">
        <is>
          <t>SEDEMA</t>
        </is>
      </c>
    </row>
    <row r="42" ht="30" customHeight="1">
      <c r="A42" s="17" t="n">
        <v>41</v>
      </c>
      <c r="B42" s="23" t="inlineStr">
        <is>
          <t>Baja</t>
        </is>
      </c>
      <c r="C42" s="19" t="inlineStr">
        <is>
          <t>Consistencia</t>
        </is>
      </c>
      <c r="D42" s="19" t="inlineStr">
        <is>
          <t>T7, T13, T14</t>
        </is>
      </c>
      <c r="E42" s="19" t="inlineStr">
        <is>
          <t>CP</t>
        </is>
      </c>
      <c r="F42" s="19" t="inlineStr">
        <is>
          <t>2250 · 3200 · 3100</t>
        </is>
      </c>
      <c r="G42" s="19" t="inlineStr">
        <is>
          <t>Perdieron el cero inicial: no son códigos postales de cinco dígitos.</t>
        </is>
      </c>
      <c r="H42" s="19" t="inlineStr">
        <is>
          <t>02250 · 03200 · 03100</t>
        </is>
      </c>
      <c r="I42" s="19" t="inlineStr">
        <is>
          <t>Los otros diez sí están bien, como texto de cinco dígitos.</t>
        </is>
      </c>
      <c r="J42" s="17" t="inlineStr">
        <is>
          <t>SEDEMA</t>
        </is>
      </c>
    </row>
    <row r="43" ht="37.5" customHeight="1">
      <c r="A43" s="20" t="n">
        <v>42</v>
      </c>
      <c r="B43" s="24" t="inlineStr">
        <is>
          <t>Baja</t>
        </is>
      </c>
      <c r="C43" s="22" t="inlineStr">
        <is>
          <t>Consistencia</t>
        </is>
      </c>
      <c r="D43" s="22" t="inlineStr">
        <is>
          <t>E8</t>
        </is>
      </c>
      <c r="E43" s="22" t="inlineStr">
        <is>
          <t>Nombre asignado</t>
        </is>
      </c>
      <c r="F43" s="22" t="inlineStr">
        <is>
          <t>Árbol Ahuehuete (Sabino) de San Juan y su Arboleda</t>
        </is>
      </c>
      <c r="G43" s="22" t="inlineStr">
        <is>
          <t>49 caracteres, y repite «Árbol» y «Ahuehuete», que ya están en nombrecomun. En el sitio desborda el título de la ficha.</t>
        </is>
      </c>
      <c r="H43" s="22" t="inlineStr">
        <is>
          <t>Sabino de San Juan (el resto pasa a Observaciones)</t>
        </is>
      </c>
      <c r="I43" s="22" t="inlineStr"/>
      <c r="J43" s="20" t="inlineStr">
        <is>
          <t>SEDEMA</t>
        </is>
      </c>
    </row>
    <row r="44" ht="30" customHeight="1">
      <c r="A44" s="17" t="n">
        <v>43</v>
      </c>
      <c r="B44" s="23" t="inlineStr">
        <is>
          <t>Baja</t>
        </is>
      </c>
      <c r="C44" s="19" t="inlineStr">
        <is>
          <t>Ortografía</t>
        </is>
      </c>
      <c r="D44" s="19" t="inlineStr">
        <is>
          <t>BG1, BL1, BN1, BT1</t>
        </is>
      </c>
      <c r="E44" s="19" t="inlineStr">
        <is>
          <t>Encabezados</t>
        </is>
      </c>
      <c r="F44" s="19" t="inlineStr">
        <is>
          <t>«economico», «Monoxido», «nitrogeno»</t>
        </is>
      </c>
      <c r="G44" s="19" t="inlineStr">
        <is>
          <t>Faltan acentos en cuatro encabezados, que son los que viajan al CSV público.</t>
        </is>
      </c>
      <c r="H44" s="19" t="inlineStr">
        <is>
          <t>«económico», «Monóxido», «nitrógeno»</t>
        </is>
      </c>
      <c r="I44" s="19" t="inlineStr"/>
      <c r="J44" s="17" t="inlineStr">
        <is>
          <t>SEDEMA</t>
        </is>
      </c>
    </row>
    <row r="45" ht="30" customHeight="1">
      <c r="A45" s="20" t="n">
        <v>44</v>
      </c>
      <c r="B45" s="24" t="inlineStr">
        <is>
          <t>Baja</t>
        </is>
      </c>
      <c r="C45" s="22" t="inlineStr">
        <is>
          <t>Ortografía</t>
        </is>
      </c>
      <c r="D45" s="22" t="inlineStr">
        <is>
          <t>BS1</t>
        </is>
      </c>
      <c r="E45" s="22" t="inlineStr">
        <is>
          <t>Encabezado</t>
        </is>
      </c>
      <c r="F45" s="22" t="inlineStr">
        <is>
          <t>Emisiones evitadas de Monóxido de carbono (gramos/año</t>
        </is>
      </c>
      <c r="G45" s="22" t="inlineStr">
        <is>
          <t>Falta el paréntesis de cierre.</t>
        </is>
      </c>
      <c r="H45" s="22" t="inlineStr">
        <is>
          <t>…(gramos/año)</t>
        </is>
      </c>
      <c r="I45" s="22" t="inlineStr"/>
      <c r="J45" s="20" t="inlineStr">
        <is>
          <t>SEDEMA</t>
        </is>
      </c>
    </row>
    <row r="46" ht="30" customHeight="1">
      <c r="A46" s="17" t="n">
        <v>45</v>
      </c>
      <c r="B46" s="23" t="inlineStr">
        <is>
          <t>Baja</t>
        </is>
      </c>
      <c r="C46" s="19" t="inlineStr">
        <is>
          <t>Consistencia</t>
        </is>
      </c>
      <c r="D46" s="19" t="inlineStr">
        <is>
          <t>BP1 y BV1</t>
        </is>
      </c>
      <c r="E46" s="19" t="inlineStr">
        <is>
          <t>Encabezados</t>
        </is>
      </c>
      <c r="F46" s="19" t="inlineStr">
        <is>
          <t>«PM 2.5» con espacio frente a «PM2.5» sin espacio</t>
        </is>
      </c>
      <c r="G46" s="19" t="inlineStr">
        <is>
          <t>La misma partícula escrita de dos formas en el mismo libro.</t>
        </is>
      </c>
      <c r="H46" s="19" t="inlineStr">
        <is>
          <t>Unificar en PM2.5</t>
        </is>
      </c>
      <c r="I46" s="19" t="inlineStr"/>
      <c r="J46" s="17" t="inlineStr">
        <is>
          <t>SEDEMA</t>
        </is>
      </c>
    </row>
    <row r="47" ht="30" customHeight="1">
      <c r="A47" s="20" t="n">
        <v>46</v>
      </c>
      <c r="B47" s="24" t="inlineStr">
        <is>
          <t>Baja</t>
        </is>
      </c>
      <c r="C47" s="22" t="inlineStr">
        <is>
          <t>Consistencia</t>
        </is>
      </c>
      <c r="D47" s="22" t="inlineStr">
        <is>
          <t>BH1, BI1, BQ1</t>
        </is>
      </c>
      <c r="E47" s="22" t="inlineStr">
        <is>
          <t>Encabezados</t>
        </is>
      </c>
      <c r="F47" s="22" t="inlineStr">
        <is>
          <t>«(kg/año)1», «(kg/año) 2», «(kWh/año)3»</t>
        </is>
      </c>
      <c r="G47" s="22" t="inlineStr">
        <is>
          <t>Los superíndices 1, 2 y 3 no llevan a ninguna nota dentro del libro; al exportar quedan pegados a la unidad.</t>
        </is>
      </c>
      <c r="H47" s="22" t="inlineStr">
        <is>
          <t>Quitarlos del encabezado y poner las notas en una hoja «Metodología».</t>
        </is>
      </c>
      <c r="I47" s="22" t="inlineStr"/>
      <c r="J47" s="20" t="inlineStr">
        <is>
          <t>SEDEMA</t>
        </is>
      </c>
    </row>
    <row r="48" ht="30" customHeight="1">
      <c r="A48" s="17" t="n">
        <v>47</v>
      </c>
      <c r="B48" s="23" t="inlineStr">
        <is>
          <t>Baja</t>
        </is>
      </c>
      <c r="C48" s="19" t="inlineStr">
        <is>
          <t>Estructura</t>
        </is>
      </c>
      <c r="D48" s="19" t="inlineStr">
        <is>
          <t>Filas 30 a 1001 y columna AR</t>
        </is>
      </c>
      <c r="E48" s="19" t="inlineStr">
        <is>
          <t>Hoja completa</t>
        </is>
      </c>
      <c r="F48" s="19" t="inlineStr">
        <is>
          <t>ocultas</t>
        </is>
      </c>
      <c r="G48" s="19" t="inlineStr">
        <is>
          <t>972 filas ocultas y la columna exoticainvasora oculta. Al exportar a CSV se van igual.</t>
        </is>
      </c>
      <c r="H48" s="19" t="inlineStr">
        <is>
          <t>Eliminar las filas sobrantes y mostrar la columna o quitarla.</t>
        </is>
      </c>
      <c r="I48" s="19" t="inlineStr"/>
      <c r="J48" s="17" t="inlineStr">
        <is>
          <t>SEDEMA</t>
        </is>
      </c>
    </row>
    <row r="49" ht="62.5" customHeight="1">
      <c r="A49" s="20" t="n">
        <v>48</v>
      </c>
      <c r="B49" s="24" t="inlineStr">
        <is>
          <t>Baja</t>
        </is>
      </c>
      <c r="C49" s="22" t="inlineStr">
        <is>
          <t>Consistencia</t>
        </is>
      </c>
      <c r="D49" s="22" t="inlineStr">
        <is>
          <t>Y y Z</t>
        </is>
      </c>
      <c r="E49" s="22" t="inlineStr">
        <is>
          <t>Coordenadas</t>
        </is>
      </c>
      <c r="F49" s="22" t="inlineStr">
        <is>
          <t>concuerdan dentro de 6.4 m</t>
        </is>
      </c>
      <c r="G49" s="22" t="inlineStr">
        <is>
          <t>Las trece parejas de coordenadas geográficas y UTM concuerdan entre 0.0 y 6.4 m, lo que es correcto para ubicar en un mapa público. Pero no se derivan una de otra: si lo fueran, la diferencia sería de centímetros. Fueron capturadas por separado.</t>
        </is>
      </c>
      <c r="H49" s="22" t="inlineStr">
        <is>
          <t>Declarar cuál es la coordenada original y calcular la otra a partir de ella.</t>
        </is>
      </c>
      <c r="I49" s="22" t="inlineStr">
        <is>
          <t>Reproyección UTM 14N WGS84 (EPSG:32614) a geográficas.</t>
        </is>
      </c>
      <c r="J49" s="20" t="inlineStr">
        <is>
          <t>SEDEMA</t>
        </is>
      </c>
    </row>
    <row r="50" ht="37.5" customHeight="1">
      <c r="A50" s="17" t="n">
        <v>49</v>
      </c>
      <c r="B50" s="23" t="inlineStr">
        <is>
          <t>Baja</t>
        </is>
      </c>
      <c r="C50" s="19" t="inlineStr">
        <is>
          <t>Datos</t>
        </is>
      </c>
      <c r="D50" s="19" t="inlineStr">
        <is>
          <t>G13 y G14</t>
        </is>
      </c>
      <c r="E50" s="19" t="inlineStr">
        <is>
          <t>Fecha de nominación</t>
        </is>
      </c>
      <c r="F50" s="19" t="inlineStr">
        <is>
          <t>01/01/2025 y 01/01/2024</t>
        </is>
      </c>
      <c r="G50" s="19" t="inlineStr">
        <is>
          <t>Primero de enero en los dos renglones más antiguos: es el marcador típico de «solo conozco el año». Alimenta el ID.</t>
        </is>
      </c>
      <c r="H50" s="19" t="inlineStr">
        <is>
          <t>Sustituir por la fecha real, o dejar constancia de que es aproximada, ANTES de congelar el ID.</t>
        </is>
      </c>
      <c r="I50" s="19" t="inlineStr"/>
      <c r="J50" s="17" t="inlineStr">
        <is>
          <t>SEDEMA</t>
        </is>
      </c>
    </row>
    <row r="51" ht="62.5" customHeight="1">
      <c r="A51" s="20" t="n">
        <v>50</v>
      </c>
      <c r="B51" s="25" t="inlineStr">
        <is>
          <t>Correcto</t>
        </is>
      </c>
      <c r="C51" s="22" t="inlineStr">
        <is>
          <t>Verificación</t>
        </is>
      </c>
      <c r="D51" s="22" t="inlineStr">
        <is>
          <t>Y2:Y14 contra Z2:Z14</t>
        </is>
      </c>
      <c r="E51" s="22" t="inlineStr">
        <is>
          <t>Coordenadas geográficas y UTM</t>
        </is>
      </c>
      <c r="F51" s="22" t="inlineStr">
        <is>
          <t>desfase máximo 6.4 m</t>
        </is>
      </c>
      <c r="G51" s="22" t="inlineStr">
        <is>
          <t>Se reproyectaron las trece coordenadas geográficas a UTM 14N WGS 84 y se compararon con la columna Z. El desfase máximo es de 6.4 m y la mediana de 3.1 m, dentro del error de un GPS de mano. No hay ni una sola transcripción cruzada ni un signo invertido.</t>
        </is>
      </c>
      <c r="H51" s="22" t="inlineStr">
        <is>
          <t>Ninguna. Es el único bloque del registro que resiste una verificación independiente completa.</t>
        </is>
      </c>
      <c r="I51" s="22" t="inlineStr">
        <is>
          <t>Reproyección con pyproj, EPSG:4326 a EPSG:32614, los trece renglones.</t>
        </is>
      </c>
      <c r="J51" s="20" t="inlineStr">
        <is>
          <t>—</t>
        </is>
      </c>
    </row>
    <row r="52" ht="30" customHeight="1">
      <c r="A52" s="17" t="n">
        <v>51</v>
      </c>
      <c r="B52" s="26" t="inlineStr">
        <is>
          <t>Correcto</t>
        </is>
      </c>
      <c r="C52" s="19" t="inlineStr">
        <is>
          <t>Verificación</t>
        </is>
      </c>
      <c r="D52" s="19" t="inlineStr">
        <is>
          <t>Y2:Y14</t>
        </is>
      </c>
      <c r="E52" s="19" t="inlineStr">
        <is>
          <t>Ubicación dentro de la Ciudad</t>
        </is>
      </c>
      <c r="F52" s="19" t="inlineStr">
        <is>
          <t>13 de 13 dentro</t>
        </is>
      </c>
      <c r="G52" s="19" t="inlineStr">
        <is>
          <t>Los trece puntos caen dentro del perímetro de la Ciudad de México que publica el propio sitio.</t>
        </is>
      </c>
      <c r="H52" s="19" t="inlineStr">
        <is>
          <t>Ninguna.</t>
        </is>
      </c>
      <c r="I52" s="19" t="inlineStr">
        <is>
          <t>Prueba punto-en-polígono contra perimetro-cdmx.geojson.</t>
        </is>
      </c>
      <c r="J52" s="17" t="inlineStr">
        <is>
          <t>—</t>
        </is>
      </c>
    </row>
    <row r="53" ht="50" customHeight="1">
      <c r="A53" s="20" t="n">
        <v>52</v>
      </c>
      <c r="B53" s="25" t="inlineStr">
        <is>
          <t>Correcto</t>
        </is>
      </c>
      <c r="C53" s="22" t="inlineStr">
        <is>
          <t>Verificación</t>
        </is>
      </c>
      <c r="D53" s="22" t="inlineStr">
        <is>
          <t>D2:D14 contra CGO_TAXONÓMICO</t>
        </is>
      </c>
      <c r="E53" s="22" t="inlineStr">
        <is>
          <t>especievalida</t>
        </is>
      </c>
      <c r="F53" s="22" t="inlineStr">
        <is>
          <t>3 de 3 resuelven</t>
        </is>
      </c>
      <c r="G53" s="22" t="inlineStr">
        <is>
          <t>Las tres especies del padrón —Taxodium mucronatum, Fraxinus uhdei y Ficus microcarpa— existen literalmente en el catálogo taxonómico, así que ninguno de los veinte VLOOKUP de la fila devuelve #N/A.</t>
        </is>
      </c>
      <c r="H53" s="22" t="inlineStr">
        <is>
          <t>Ninguna, pero depende de que la validación de D siga apuntando al catálogo: hoy apunta a #REF!.</t>
        </is>
      </c>
      <c r="I53" s="22" t="inlineStr">
        <is>
          <t>Comprobado contra los 1,158 renglones de la hoja Base_datos_Arboles.</t>
        </is>
      </c>
      <c r="J53" s="20" t="inlineStr">
        <is>
          <t>—</t>
        </is>
      </c>
    </row>
  </sheetData>
  <pageMargins left="0.4" right="0.4" top="0.5" bottom="0.5" header="0.5" footer="0.5"/>
  <pageSetup orientation="landscape" fitToHeight="0" fitToWidth="1"/>
  <headerFooter>
    <oddHeader/>
    <oddFooter>&amp;L&amp;8 Auditoría de la base de datos · SEDEMA · 20 de agosto de 2026&amp;R&amp;8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D43"/>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58" customWidth="1" min="3" max="3"/>
    <col width="58" customWidth="1" min="4" max="4"/>
  </cols>
  <sheetData>
    <row r="1">
      <c r="A1" s="27" t="inlineStr">
        <is>
          <t>Correcciones que se pueden aplicar tal cual, sin verificar nada</t>
        </is>
      </c>
    </row>
    <row r="2">
      <c r="A2" s="3" t="inlineStr">
        <is>
          <t>Copia la columna «Valor corregido» sobre la celda indicada. Ninguna de estas requiere consultar la fuente ni volver a campo.</t>
        </is>
      </c>
    </row>
    <row r="3"/>
    <row r="4">
      <c r="A4" s="28" t="inlineStr">
        <is>
          <t>Celda</t>
        </is>
      </c>
      <c r="B4" s="28" t="inlineStr">
        <is>
          <t>Campo</t>
        </is>
      </c>
      <c r="C4" s="28" t="inlineStr">
        <is>
          <t>Valor actual</t>
        </is>
      </c>
      <c r="D4" s="28" t="inlineStr">
        <is>
          <t>Valor corregido</t>
        </is>
      </c>
    </row>
    <row r="5" ht="26" customHeight="1">
      <c r="A5" s="17" t="inlineStr">
        <is>
          <t>O2</t>
        </is>
      </c>
      <c r="B5" s="19" t="inlineStr">
        <is>
          <t>Alcaldía</t>
        </is>
      </c>
      <c r="C5" s="19" t="inlineStr">
        <is>
          <t>Miguel hidalgo</t>
        </is>
      </c>
      <c r="D5" s="29" t="inlineStr">
        <is>
          <t>Miguel Hidalgo</t>
        </is>
      </c>
    </row>
    <row r="6" ht="26" customHeight="1">
      <c r="A6" s="20" t="inlineStr">
        <is>
          <t>E3</t>
        </is>
      </c>
      <c r="B6" s="22" t="inlineStr">
        <is>
          <t>Nombre asignado</t>
        </is>
      </c>
      <c r="C6" s="22" t="inlineStr">
        <is>
          <t>Jardin San Fernando</t>
        </is>
      </c>
      <c r="D6" s="30" t="inlineStr">
        <is>
          <t>Jardín San Fernando</t>
        </is>
      </c>
    </row>
    <row r="7" ht="26" customHeight="1">
      <c r="A7" s="17" t="inlineStr">
        <is>
          <t>E8</t>
        </is>
      </c>
      <c r="B7" s="19" t="inlineStr">
        <is>
          <t>Nombre asignado</t>
        </is>
      </c>
      <c r="C7" s="19" t="inlineStr">
        <is>
          <t>Árbol Ahuehuete (Sabino) de San Juan y su Arboleda</t>
        </is>
      </c>
      <c r="D7" s="29" t="inlineStr">
        <is>
          <t>Sabino de San Juan</t>
        </is>
      </c>
    </row>
    <row r="8" ht="26" customHeight="1">
      <c r="A8" s="20" t="inlineStr">
        <is>
          <t>F8</t>
        </is>
      </c>
      <c r="B8" s="22" t="inlineStr">
        <is>
          <t>Nominó</t>
        </is>
      </c>
      <c r="C8" s="22" t="inlineStr">
        <is>
          <t>SEDEMA-Fernando Venegas Rosas**</t>
        </is>
      </c>
      <c r="D8" s="30" t="inlineStr">
        <is>
          <t>SEDEMA · Fernando Venegas Rosas</t>
        </is>
      </c>
    </row>
    <row r="9" ht="26" customHeight="1">
      <c r="A9" s="17" t="inlineStr">
        <is>
          <t>F14</t>
        </is>
      </c>
      <c r="B9" s="19" t="inlineStr">
        <is>
          <t>Nominó</t>
        </is>
      </c>
      <c r="C9" s="19" t="inlineStr">
        <is>
          <t>Colectivo de Vecinos de Cerrada de Eugenia”</t>
        </is>
      </c>
      <c r="D9" s="29" t="inlineStr">
        <is>
          <t>Colectivo de Vecinos de Cerrada de Eugenia</t>
        </is>
      </c>
    </row>
    <row r="10" ht="26" customHeight="1">
      <c r="A10" s="20" t="inlineStr">
        <is>
          <t>T7</t>
        </is>
      </c>
      <c r="B10" s="22" t="inlineStr">
        <is>
          <t>CP</t>
        </is>
      </c>
      <c r="C10" s="22" t="inlineStr">
        <is>
          <t>2250</t>
        </is>
      </c>
      <c r="D10" s="30" t="inlineStr">
        <is>
          <t>02250</t>
        </is>
      </c>
    </row>
    <row r="11" ht="26" customHeight="1">
      <c r="A11" s="17" t="inlineStr">
        <is>
          <t>T13</t>
        </is>
      </c>
      <c r="B11" s="19" t="inlineStr">
        <is>
          <t>CP</t>
        </is>
      </c>
      <c r="C11" s="19" t="inlineStr">
        <is>
          <t>3200</t>
        </is>
      </c>
      <c r="D11" s="29" t="inlineStr">
        <is>
          <t>03200</t>
        </is>
      </c>
    </row>
    <row r="12" ht="26" customHeight="1">
      <c r="A12" s="20" t="inlineStr">
        <is>
          <t>T14</t>
        </is>
      </c>
      <c r="B12" s="22" t="inlineStr">
        <is>
          <t>CP</t>
        </is>
      </c>
      <c r="C12" s="22" t="inlineStr">
        <is>
          <t>3100</t>
        </is>
      </c>
      <c r="D12" s="30" t="inlineStr">
        <is>
          <t>03100</t>
        </is>
      </c>
    </row>
    <row r="13" ht="26" customHeight="1">
      <c r="A13" s="17" t="inlineStr">
        <is>
          <t>U10</t>
        </is>
      </c>
      <c r="B13" s="19" t="inlineStr">
        <is>
          <t>Entre calle 1</t>
        </is>
      </c>
      <c r="C13" s="19" t="inlineStr">
        <is>
          <t>Avenida G. Peréz Valenzuela</t>
        </is>
      </c>
      <c r="D13" s="29" t="inlineStr">
        <is>
          <t>Avenida G. Pérez Valenzuela</t>
        </is>
      </c>
    </row>
    <row r="14" ht="26" customHeight="1">
      <c r="A14" s="20" t="inlineStr">
        <is>
          <t>V8</t>
        </is>
      </c>
      <c r="B14" s="22" t="inlineStr">
        <is>
          <t>Entre calle 2</t>
        </is>
      </c>
      <c r="C14" s="22" t="inlineStr">
        <is>
          <t>Prolongación Josefa Ortiz de Dominguez</t>
        </is>
      </c>
      <c r="D14" s="30" t="inlineStr">
        <is>
          <t>Prolongación Josefa Ortiz de Domínguez</t>
        </is>
      </c>
    </row>
    <row r="15" ht="26" customHeight="1">
      <c r="A15" s="17" t="inlineStr">
        <is>
          <t>W6</t>
        </is>
      </c>
      <c r="B15" s="19" t="inlineStr">
        <is>
          <t>Referencias</t>
        </is>
      </c>
      <c r="C15" s="19" t="inlineStr">
        <is>
          <t>Dentro del parque españa sobre Av. sonora</t>
        </is>
      </c>
      <c r="D15" s="29" t="inlineStr">
        <is>
          <t>Dentro del Parque España, sobre Avenida Sonora</t>
        </is>
      </c>
    </row>
    <row r="16" ht="26" customHeight="1">
      <c r="A16" s="20" t="inlineStr">
        <is>
          <t>W9</t>
        </is>
      </c>
      <c r="B16" s="22" t="inlineStr">
        <is>
          <t>Referencias</t>
        </is>
      </c>
      <c r="C16" s="22" t="inlineStr">
        <is>
          <t>Sobre baqueta del predio marcada con número 202</t>
        </is>
      </c>
      <c r="D16" s="30" t="inlineStr">
        <is>
          <t>Sobre banqueta del predio marcado con el número 202-A</t>
        </is>
      </c>
    </row>
    <row r="17" ht="26" customHeight="1">
      <c r="A17" s="17" t="inlineStr">
        <is>
          <t>W10</t>
        </is>
      </c>
      <c r="B17" s="19" t="inlineStr">
        <is>
          <t>Referencias</t>
        </is>
      </c>
      <c r="C17" s="19" t="inlineStr">
        <is>
          <t>Sobre el camellon ubicado en la parte posterior de la casa hogar CAHOVA DIF Nacional</t>
        </is>
      </c>
      <c r="D17" s="29" t="inlineStr">
        <is>
          <t>Sobre el camellón ubicado en la parte posterior de la casa hogar CAHOVA DIF Nacional</t>
        </is>
      </c>
    </row>
    <row r="18" ht="26" customHeight="1">
      <c r="A18" s="20" t="inlineStr">
        <is>
          <t>X3</t>
        </is>
      </c>
      <c r="B18" s="22" t="inlineStr">
        <is>
          <t>Tipo de ubicación</t>
        </is>
      </c>
      <c r="C18" s="22" t="inlineStr">
        <is>
          <t>Jardín de San Fernando</t>
        </is>
      </c>
      <c r="D18" s="30" t="inlineStr">
        <is>
          <t>Parque</t>
        </is>
      </c>
    </row>
    <row r="19" ht="26" customHeight="1">
      <c r="A19" s="17" t="inlineStr">
        <is>
          <t>X5</t>
        </is>
      </c>
      <c r="B19" s="19" t="inlineStr">
        <is>
          <t>Tipo de ubicación</t>
        </is>
      </c>
      <c r="C19" s="19" t="inlineStr">
        <is>
          <t>Jardín Ramón López Velarde</t>
        </is>
      </c>
      <c r="D19" s="29" t="inlineStr">
        <is>
          <t>Parque</t>
        </is>
      </c>
    </row>
    <row r="20" ht="26" customHeight="1">
      <c r="A20" s="20" t="inlineStr">
        <is>
          <t>X6</t>
        </is>
      </c>
      <c r="B20" s="22" t="inlineStr">
        <is>
          <t>Tipo de ubicación</t>
        </is>
      </c>
      <c r="C20" s="22" t="inlineStr">
        <is>
          <t>Parque España</t>
        </is>
      </c>
      <c r="D20" s="30" t="inlineStr">
        <is>
          <t>Parque</t>
        </is>
      </c>
    </row>
    <row r="21" ht="26" customHeight="1">
      <c r="A21" s="17" t="inlineStr">
        <is>
          <t>X12</t>
        </is>
      </c>
      <c r="B21" s="19" t="inlineStr">
        <is>
          <t>Tipo de ubicación</t>
        </is>
      </c>
      <c r="C21" s="19" t="inlineStr">
        <is>
          <t>Plaza Luis Pasteur</t>
        </is>
      </c>
      <c r="D21" s="29" t="inlineStr">
        <is>
          <t>Plaza</t>
        </is>
      </c>
    </row>
    <row r="22" ht="26" customHeight="1">
      <c r="A22" s="20" t="inlineStr">
        <is>
          <t>X13</t>
        </is>
      </c>
      <c r="B22" s="22" t="inlineStr">
        <is>
          <t>Tipo de ubicación</t>
        </is>
      </c>
      <c r="C22" s="22" t="inlineStr">
        <is>
          <t>Sobre baqueta en esquina de Calle Miguel Laurent y Calle fresas</t>
        </is>
      </c>
      <c r="D22" s="30" t="inlineStr">
        <is>
          <t>Banqueta</t>
        </is>
      </c>
    </row>
    <row r="23" ht="26" customHeight="1">
      <c r="A23" s="17" t="inlineStr">
        <is>
          <t>X14</t>
        </is>
      </c>
      <c r="B23" s="19" t="inlineStr">
        <is>
          <t>Tipo de ubicación</t>
        </is>
      </c>
      <c r="C23" s="19" t="inlineStr">
        <is>
          <t>Interior del predio con numero 28</t>
        </is>
      </c>
      <c r="D23" s="29" t="inlineStr">
        <is>
          <t>Propiedad privada</t>
        </is>
      </c>
    </row>
    <row r="24" ht="26" customHeight="1">
      <c r="A24" s="20" t="inlineStr">
        <is>
          <t>Z9</t>
        </is>
      </c>
      <c r="B24" s="22" t="inlineStr">
        <is>
          <t>Coordenadas UTM</t>
        </is>
      </c>
      <c r="C24" s="22" t="inlineStr">
        <is>
          <t>482098.49, 2139496.12.</t>
        </is>
      </c>
      <c r="D24" s="30" t="inlineStr">
        <is>
          <t>482098.49, 2139496.12</t>
        </is>
      </c>
    </row>
    <row r="25" ht="26" customHeight="1">
      <c r="A25" s="17" t="inlineStr">
        <is>
          <t>BC2</t>
        </is>
      </c>
      <c r="B25" s="19" t="inlineStr">
        <is>
          <t>Condición general</t>
        </is>
      </c>
      <c r="C25" s="19" t="inlineStr">
        <is>
          <t>Declinante incipiente</t>
        </is>
      </c>
      <c r="D25" s="29" t="inlineStr">
        <is>
          <t>Declinante incipiente  (ya es el término de la norma)</t>
        </is>
      </c>
    </row>
    <row r="26" ht="26" customHeight="1">
      <c r="A26" s="20" t="inlineStr">
        <is>
          <t>BC3:BC14</t>
        </is>
      </c>
      <c r="B26" s="22" t="inlineStr">
        <is>
          <t>Condición general</t>
        </is>
      </c>
      <c r="C26" s="22" t="inlineStr">
        <is>
          <t>Buena</t>
        </is>
      </c>
      <c r="D26" s="30" t="inlineStr">
        <is>
          <t>Bueno</t>
        </is>
      </c>
    </row>
    <row r="27" ht="26" customHeight="1">
      <c r="A27" s="17" t="inlineStr">
        <is>
          <t>BF2:BF13</t>
        </is>
      </c>
      <c r="B27" s="19" t="inlineStr">
        <is>
          <t>Expectativa de vida</t>
        </is>
      </c>
      <c r="C27" s="19" t="inlineStr">
        <is>
          <t>Mas de 40</t>
        </is>
      </c>
      <c r="D27" s="29" t="inlineStr">
        <is>
          <t>Más de 40 años</t>
        </is>
      </c>
    </row>
    <row r="28" ht="26" customHeight="1">
      <c r="A28" s="20" t="inlineStr">
        <is>
          <t>BF14</t>
        </is>
      </c>
      <c r="B28" s="22" t="inlineStr">
        <is>
          <t>Expectativa de vida</t>
        </is>
      </c>
      <c r="C28" s="22" t="inlineStr">
        <is>
          <t>De 21 a 40 años</t>
        </is>
      </c>
      <c r="D28" s="30" t="inlineStr">
        <is>
          <t>21 a 40 años</t>
        </is>
      </c>
    </row>
    <row r="29" ht="26" customHeight="1">
      <c r="A29" s="17" t="inlineStr">
        <is>
          <t>N7 y N13</t>
        </is>
      </c>
      <c r="B29" s="19" t="inlineStr">
        <is>
          <t>Link al decreto</t>
        </is>
      </c>
      <c r="C29" s="19" t="inlineStr">
        <is>
          <t>DECRETO VIEJO DL AGUA LAUREANO.pdf</t>
        </is>
      </c>
      <c r="D29" s="29" t="inlineStr">
        <is>
          <t>DECRETO_VIEJO_DEL_AGUA_LAUREANO.pdf  (renombrar también el archivo)</t>
        </is>
      </c>
    </row>
    <row r="30" ht="26" customHeight="1">
      <c r="A30" s="20" t="inlineStr">
        <is>
          <t>P2:P14</t>
        </is>
      </c>
      <c r="B30" s="22" t="inlineStr">
        <is>
          <t>Codigo alcaldía</t>
        </is>
      </c>
      <c r="C30" s="22" t="inlineStr">
        <is>
          <t>=VLOOKUP(O2,Alcaldias[#ALL],2)</t>
        </is>
      </c>
      <c r="D30" s="30" t="inlineStr">
        <is>
          <t>=VLOOKUP($O2,Alcaldias,2,FALSE)</t>
        </is>
      </c>
    </row>
    <row r="31" ht="26" customHeight="1">
      <c r="A31" s="17" t="inlineStr">
        <is>
          <t>AZ1</t>
        </is>
      </c>
      <c r="B31" s="19" t="inlineStr">
        <is>
          <t>Encabezado</t>
        </is>
      </c>
      <c r="C31" s="19" t="inlineStr">
        <is>
          <t>Ancho de copa (eje mayor) (m)</t>
        </is>
      </c>
      <c r="D31" s="29" t="inlineStr">
        <is>
          <t>Ancho de copa (m)</t>
        </is>
      </c>
    </row>
    <row r="32" ht="26" customHeight="1">
      <c r="A32" s="20" t="inlineStr">
        <is>
          <t>BA1</t>
        </is>
      </c>
      <c r="B32" s="22" t="inlineStr">
        <is>
          <t>Encabezado</t>
        </is>
      </c>
      <c r="C32" s="22" t="inlineStr">
        <is>
          <t>Largo de copa (eje menor) (m)</t>
        </is>
      </c>
      <c r="D32" s="30" t="inlineStr">
        <is>
          <t>Largo de copa (m)</t>
        </is>
      </c>
    </row>
    <row r="33" ht="26" customHeight="1">
      <c r="A33" s="17" t="inlineStr">
        <is>
          <t>BG1</t>
        </is>
      </c>
      <c r="B33" s="19" t="inlineStr">
        <is>
          <t>Encabezado</t>
        </is>
      </c>
      <c r="C33" s="19" t="inlineStr">
        <is>
          <t>Beneficio economico estimado ($/año)</t>
        </is>
      </c>
      <c r="D33" s="29" t="inlineStr">
        <is>
          <t>Beneficio económico estimado (declarar moneda y año)</t>
        </is>
      </c>
    </row>
    <row r="34" ht="26" customHeight="1">
      <c r="A34" s="20" t="inlineStr">
        <is>
          <t>BH1</t>
        </is>
      </c>
      <c r="B34" s="22" t="inlineStr">
        <is>
          <t>Encabezado</t>
        </is>
      </c>
      <c r="C34" s="22" t="inlineStr">
        <is>
          <t>Carbono secuestrado (kg/año)1</t>
        </is>
      </c>
      <c r="D34" s="30" t="inlineStr">
        <is>
          <t>Carbono secuestrado (kg/año)</t>
        </is>
      </c>
    </row>
    <row r="35" ht="26" customHeight="1">
      <c r="A35" s="17" t="inlineStr">
        <is>
          <t>BI1</t>
        </is>
      </c>
      <c r="B35" s="19" t="inlineStr">
        <is>
          <t>Encabezado</t>
        </is>
      </c>
      <c r="C35" s="19" t="inlineStr">
        <is>
          <t>Absorción de CO2 equivalente (kg/año) 2</t>
        </is>
      </c>
      <c r="D35" s="29" t="inlineStr">
        <is>
          <t>Absorción de CO2 equivalente (kg/año)</t>
        </is>
      </c>
    </row>
    <row r="36" ht="26" customHeight="1">
      <c r="A36" s="20" t="inlineStr">
        <is>
          <t>BL1</t>
        </is>
      </c>
      <c r="B36" s="22" t="inlineStr">
        <is>
          <t>Encabezado</t>
        </is>
      </c>
      <c r="C36" s="22" t="inlineStr">
        <is>
          <t>Eliminación de Monoxido de carbono del aire (gramos/año)</t>
        </is>
      </c>
      <c r="D36" s="30" t="inlineStr">
        <is>
          <t>Eliminación de monóxido de carbono del aire (gramos/año)</t>
        </is>
      </c>
    </row>
    <row r="37" ht="26" customHeight="1">
      <c r="A37" s="17" t="inlineStr">
        <is>
          <t>BN1</t>
        </is>
      </c>
      <c r="B37" s="19" t="inlineStr">
        <is>
          <t>Encabezado</t>
        </is>
      </c>
      <c r="C37" s="19" t="inlineStr">
        <is>
          <t>Eliminación de Dióxido de nitrogeno del aire (gramos/año)</t>
        </is>
      </c>
      <c r="D37" s="29" t="inlineStr">
        <is>
          <t>Eliminación de dióxido de nitrógeno del aire (gramos/año)</t>
        </is>
      </c>
    </row>
    <row r="38" ht="26" customHeight="1">
      <c r="A38" s="20" t="inlineStr">
        <is>
          <t>BP1</t>
        </is>
      </c>
      <c r="B38" s="22" t="inlineStr">
        <is>
          <t>Encabezado</t>
        </is>
      </c>
      <c r="C38" s="22" t="inlineStr">
        <is>
          <t>Eliminación de PM 2.5 (gramos/año)</t>
        </is>
      </c>
      <c r="D38" s="30" t="inlineStr">
        <is>
          <t>Eliminación de PM2.5 (gramos/año)</t>
        </is>
      </c>
    </row>
    <row r="39" ht="26" customHeight="1">
      <c r="A39" s="17" t="inlineStr">
        <is>
          <t>BQ1</t>
        </is>
      </c>
      <c r="B39" s="19" t="inlineStr">
        <is>
          <t>Encabezado</t>
        </is>
      </c>
      <c r="C39" s="19" t="inlineStr">
        <is>
          <t>Ahorro de electricidad (kWh/año)3</t>
        </is>
      </c>
      <c r="D39" s="29" t="inlineStr">
        <is>
          <t>Ahorro de electricidad (kWh/año)</t>
        </is>
      </c>
    </row>
    <row r="40" ht="26" customHeight="1">
      <c r="A40" s="20" t="inlineStr">
        <is>
          <t>BS1</t>
        </is>
      </c>
      <c r="B40" s="22" t="inlineStr">
        <is>
          <t>Encabezado</t>
        </is>
      </c>
      <c r="C40" s="22" t="inlineStr">
        <is>
          <t>Emisiones evitadas de Monóxido de carbono (gramos/año</t>
        </is>
      </c>
      <c r="D40" s="30" t="inlineStr">
        <is>
          <t>Emisiones evitadas de monóxido de carbono (gramos/año)</t>
        </is>
      </c>
    </row>
    <row r="41" ht="26" customHeight="1">
      <c r="A41" s="17" t="inlineStr">
        <is>
          <t>BT1</t>
        </is>
      </c>
      <c r="B41" s="19" t="inlineStr">
        <is>
          <t>Encabezado</t>
        </is>
      </c>
      <c r="C41" s="19" t="inlineStr">
        <is>
          <t>Emisiones evitadas de Dióxido de nitrogeno (gramos/año)</t>
        </is>
      </c>
      <c r="D41" s="29" t="inlineStr">
        <is>
          <t>Emisiones evitadas de dióxido de nitrógeno (gramos/año)</t>
        </is>
      </c>
    </row>
    <row r="42" ht="26" customHeight="1">
      <c r="A42" s="20" t="inlineStr">
        <is>
          <t>AS1</t>
        </is>
      </c>
      <c r="B42" s="22" t="inlineStr">
        <is>
          <t>Encabezado</t>
        </is>
      </c>
      <c r="C42" s="22" t="inlineStr">
        <is>
          <t>urlejemplar</t>
        </is>
      </c>
      <c r="D42" s="30" t="inlineStr">
        <is>
          <t>urlespecie  (la fórmula resuelve por especie, no por ejemplar)</t>
        </is>
      </c>
    </row>
    <row r="43" ht="26" customHeight="1">
      <c r="A43" s="17" t="inlineStr">
        <is>
          <t>AT1</t>
        </is>
      </c>
      <c r="B43" s="19" t="inlineStr">
        <is>
          <t>Encabezado</t>
        </is>
      </c>
      <c r="C43" s="19" t="inlineStr">
        <is>
          <t>urlorigen</t>
        </is>
      </c>
      <c r="D43" s="29" t="inlineStr">
        <is>
          <t>urlorigenespecie</t>
        </is>
      </c>
    </row>
  </sheetData>
  <pageMargins left="0.4" right="0.4" top="0.5" bottom="0.5" header="0.5" footer="0.5"/>
  <pageSetup orientation="landscape" fitToHeight="0" fitToWidth="1"/>
  <headerFooter>
    <oddHeader/>
    <oddFooter>&amp;L&amp;8 Auditoría de la base de datos · SEDEMA · 20 de agosto de 2026&amp;R&amp;8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5" customWidth="1" min="1" max="1"/>
    <col width="44" customWidth="1" min="2" max="2"/>
    <col width="62" customWidth="1" min="3" max="3"/>
    <col width="62" customWidth="1" min="4" max="4"/>
  </cols>
  <sheetData>
    <row r="1">
      <c r="A1" s="27" t="inlineStr">
        <is>
          <t>Lo que no puedo resolver desde el archivo</t>
        </is>
      </c>
    </row>
    <row r="2">
      <c r="A2" s="3" t="inlineStr">
        <is>
          <t>Cada punto necesita la fuente original, la corrida de i-Tree o una verificación en campo. No los corregí ni los adiviné.</t>
        </is>
      </c>
    </row>
    <row r="3"/>
    <row r="4">
      <c r="A4" s="31" t="inlineStr">
        <is>
          <t>#</t>
        </is>
      </c>
      <c r="B4" s="31" t="inlineStr">
        <is>
          <t>Qué hay que verificar</t>
        </is>
      </c>
      <c r="C4" s="31" t="inlineStr">
        <is>
          <t>Por qué importa</t>
        </is>
      </c>
      <c r="D4" s="31" t="inlineStr">
        <is>
          <t>Cómo se resuelve</t>
        </is>
      </c>
    </row>
    <row r="5" ht="62" customHeight="1">
      <c r="A5" s="17" t="n">
        <v>1</v>
      </c>
      <c r="B5" s="32" t="inlineStr">
        <is>
          <t>El DAP de los trece ejemplares: ¿diámetro o perímetro?</t>
        </is>
      </c>
      <c r="C5" s="19" t="inlineStr">
        <is>
          <t>La esbeltez se separa en tres grupos con un factor de seis entre extremos. Un DAP de 590 cm implica 18.5 m de circunferencia en el Sabino de San Juan: si es correcto, es uno de los árboles más gruesos del país; si es perímetro, el DAP real es 188 cm.</t>
        </is>
      </c>
      <c r="D5" s="19" t="inlineStr">
        <is>
          <t>Confirmar el instrumento con el dictaminador de cada ejemplar. La NADF-001 prevé el caso: el lineamiento 5 del Anexo 1 admite que puede no haber cinta diamétrica.</t>
        </is>
      </c>
    </row>
    <row r="6" ht="62" customHeight="1">
      <c r="A6" s="20" t="n">
        <v>2</v>
      </c>
      <c r="B6" s="33" t="inlineStr">
        <is>
          <t>Las cinco celdas de emisiones evitadas que son fechas</t>
        </is>
      </c>
      <c r="C6" s="22" t="inlineStr">
        <is>
          <t>Se publicaron como cifras de siete dígitos con separador de miles, que es justo lo que las hacía parecer verdaderas.</t>
        </is>
      </c>
      <c r="D6" s="22" t="inlineStr">
        <is>
          <t>Recuperar el valor de la corrida original de MyTree. Si no aparece, dejarlas sin dato: vale más un hueco declarado que una cifra falsa.</t>
        </is>
      </c>
    </row>
    <row r="7" ht="62" customHeight="1">
      <c r="A7" s="17" t="n">
        <v>3</v>
      </c>
      <c r="B7" s="32" t="inlineStr">
        <is>
          <t>El carbono secuestrado de la Glorieta de Ahuehuetes (48.95 kg/año)</t>
        </is>
      </c>
      <c r="C7" s="19" t="inlineStr">
        <is>
          <t>Es 18 veces el siguiente valor y 80 veces el del árbol más grueso del padrón. Y arrastra a la columna de CO2, que es 3.667 veces esta.</t>
        </is>
      </c>
      <c r="D7" s="19" t="inlineStr">
        <is>
          <t>Volver a correr ese ejemplar y comparar contra los otros doce en la misma sesión.</t>
        </is>
      </c>
    </row>
    <row r="8" ht="62" customHeight="1">
      <c r="A8" s="20" t="n">
        <v>4</v>
      </c>
      <c r="B8" s="33" t="inlineStr">
        <is>
          <t>Los renglones 11 a 14 (Glorieta, Juarista, Laureano, Eugenio)</t>
        </is>
      </c>
      <c r="C8" s="22" t="inlineStr">
        <is>
          <t>Vienen de otra configuración de i-Tree: la correlación entre ozono y área de copa pasa de +0.71 a -0.04 al incluirlos.</t>
        </is>
      </c>
      <c r="D8" s="22" t="inlineStr">
        <is>
          <t>Recalcular los trece en una sola corrida, con la misma ubicación de referencia y el mismo año de datos de calidad del aire.</t>
        </is>
      </c>
    </row>
    <row r="9" ht="62" customHeight="1">
      <c r="A9" s="17" t="n">
        <v>5</v>
      </c>
      <c r="B9" s="32" t="inlineStr">
        <is>
          <t>La unidad de escorrentía e interceptación</t>
        </is>
      </c>
      <c r="C9" s="19" t="inlineStr">
        <is>
          <t>La interceptación del Sabino de San Juan equivale a 1,680 mm de lluvia sobre su copa, dos o tres veces la precipitación normal de la zona. Y la razón entre las dos columnas es constante (711:1 a 728:1), lo que delata un factor fijo, no una medición.</t>
        </is>
      </c>
      <c r="D9" s="19" t="inlineStr">
        <is>
          <t>Comparar la salida literal de MyTree contra lo capturado y contrastar con la normal climatológica del SMN de la estación más cercana.</t>
        </is>
      </c>
    </row>
    <row r="10" ht="62" customHeight="1">
      <c r="A10" s="20" t="n">
        <v>6</v>
      </c>
      <c r="B10" s="33" t="inlineStr">
        <is>
          <t>La moneda del beneficio económico</t>
        </is>
      </c>
      <c r="C10" s="22" t="inlineStr">
        <is>
          <t>El encabezado no la declara. MyTree reporta en dólares; publicarlo como pesos multiplica la cifra por 17 a 20.</t>
        </is>
      </c>
      <c r="D10" s="22" t="inlineStr">
        <is>
          <t>Declarar moneda y año de referencia en el encabezado, no en una nota al pie.</t>
        </is>
      </c>
    </row>
    <row r="11" ht="62" customHeight="1">
      <c r="A11" s="17" t="n">
        <v>7</v>
      </c>
      <c r="B11" s="32" t="inlineStr">
        <is>
          <t>Las emisiones evitadas negativas del Sabino de San Juan</t>
        </is>
      </c>
      <c r="C11" s="19" t="inlineStr">
        <is>
          <t>Cuatro valores negativos en el mismo árbol donde el ahorro eléctrico es positivo. Publicado tal cual se lee como que el árbol perjudica al clima.</t>
        </is>
      </c>
      <c r="D11" s="19" t="inlineStr">
        <is>
          <t>Volver a correr el ejemplar. Si se confirma, explicarlo en la ficha o no publicar el campo.</t>
        </is>
      </c>
    </row>
    <row r="12" ht="62" customHeight="1">
      <c r="A12" s="20" t="n">
        <v>8</v>
      </c>
      <c r="B12" s="33" t="inlineStr">
        <is>
          <t>La categoría del Sabino de San Juan y de Eugenio</t>
        </is>
      </c>
      <c r="C12" s="22" t="inlineStr">
        <is>
          <t>Son los dos únicos sin ninguna de las cuatro categorías. El sitio rinde el campo en blanco.</t>
        </is>
      </c>
      <c r="D12" s="22" t="inlineStr">
        <is>
          <t>Asignarla en el expediente del decreto.</t>
        </is>
      </c>
    </row>
    <row r="13" ht="62" customHeight="1">
      <c r="A13" s="17" t="n">
        <v>9</v>
      </c>
      <c r="B13" s="32" t="inlineStr">
        <is>
          <t>El decreto del Sabino de San Juan</t>
        </is>
      </c>
      <c r="C13" s="19" t="inlineStr">
        <is>
          <t>Es el único sin fecha y sin archivo. Un listado de árboles declarados no debería incluir un ejemplar sin decreto.</t>
        </is>
      </c>
      <c r="D13" s="19" t="inlineStr">
        <is>
          <t>Emitirlo, o mover el ejemplar a un estatus «en dictamen» y no publicarlo como declarado.</t>
        </is>
      </c>
    </row>
    <row r="14" ht="62" customHeight="1">
      <c r="A14" s="20" t="n">
        <v>10</v>
      </c>
      <c r="B14" s="33" t="inlineStr">
        <is>
          <t>Las fechas de nominación 01/01/2025 y 01/01/2024</t>
        </is>
      </c>
      <c r="C14" s="22" t="inlineStr">
        <is>
          <t>Primero de enero en los dos renglones más antiguos es el marcador típico de «solo conozco el año», y alimenta el ID.</t>
        </is>
      </c>
      <c r="D14" s="22" t="inlineStr">
        <is>
          <t>Sustituir por la fecha real antes de congelar el ID, o dejar constancia de que es aproximada.</t>
        </is>
      </c>
    </row>
  </sheetData>
  <pageMargins left="0.4" right="0.4" top="0.5" bottom="0.5" header="0.5" footer="0.5"/>
  <pageSetup orientation="landscape" fitToHeight="0" fitToWidth="1"/>
  <headerFooter>
    <oddHeader/>
    <oddFooter>&amp;L&amp;8 Auditoría de la base de datos · SEDEMA · 20 de agosto de 2026&amp;R&amp;8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22"/>
  <sheetViews>
    <sheetView showGridLines="0" workbookViewId="0">
      <selection activeCell="A1" sqref="A1"/>
    </sheetView>
  </sheetViews>
  <sheetFormatPr baseColWidth="8" defaultRowHeight="15"/>
  <cols>
    <col width="30" customWidth="1" min="1" max="1"/>
    <col width="16" customWidth="1" min="2" max="2"/>
    <col width="60" customWidth="1" min="3" max="3"/>
    <col width="60" customWidth="1" min="4" max="4"/>
  </cols>
  <sheetData>
    <row r="1">
      <c r="A1" s="27" t="inlineStr">
        <is>
          <t>Vocabularios controlados de la NADF-001-RNAT-2015</t>
        </is>
      </c>
    </row>
    <row r="2">
      <c r="A2" s="3" t="inlineStr">
        <is>
          <t>Úsalos como origen de las listas desplegables. Son los valores literales de la norma; no conviene reescribirlos.</t>
        </is>
      </c>
    </row>
    <row r="3"/>
    <row r="4" ht="28" customHeight="1">
      <c r="A4" s="34" t="inlineStr">
        <is>
          <t>Tipo de ubicación</t>
        </is>
      </c>
      <c r="B4" s="34" t="inlineStr">
        <is>
          <t>Condición general del árbol</t>
        </is>
      </c>
      <c r="C4" s="34" t="inlineStr">
        <is>
          <t>Estructura general del árbol</t>
        </is>
      </c>
      <c r="D4" s="34" t="inlineStr">
        <is>
          <t>Expectativa de vida</t>
        </is>
      </c>
    </row>
    <row r="5" ht="24" customHeight="1">
      <c r="A5" s="35" t="inlineStr">
        <is>
          <t>Anexo 1, apartado 4 y Anexo 2, lineamiento 3</t>
        </is>
      </c>
      <c r="B5" s="35" t="inlineStr">
        <is>
          <t>Anexo 1, apartado 16 y Anexo 3, factor 4</t>
        </is>
      </c>
      <c r="C5" s="35" t="inlineStr">
        <is>
          <t>Anexo 1, apartado 14 y Anexo 3, factor 3</t>
        </is>
      </c>
      <c r="D5" s="35" t="inlineStr">
        <is>
          <t>Anexo 1, apartado 15 y Anexo 3, factor 5</t>
        </is>
      </c>
    </row>
    <row r="6">
      <c r="A6" s="36" t="inlineStr">
        <is>
          <t>Banqueta</t>
        </is>
      </c>
      <c r="B6" s="36" t="inlineStr">
        <is>
          <t>Muy bueno</t>
        </is>
      </c>
      <c r="C6" s="36" t="inlineStr">
        <is>
          <t>Muy buena</t>
        </is>
      </c>
      <c r="D6" s="36" t="inlineStr">
        <is>
          <t>Hasta 5 años</t>
        </is>
      </c>
    </row>
    <row r="7">
      <c r="A7" s="36" t="inlineStr">
        <is>
          <t>Camellón</t>
        </is>
      </c>
      <c r="B7" s="36" t="inlineStr">
        <is>
          <t>Bueno</t>
        </is>
      </c>
      <c r="C7" s="36" t="inlineStr">
        <is>
          <t>Buena</t>
        </is>
      </c>
      <c r="D7" s="36" t="inlineStr">
        <is>
          <t>6 a 20 años</t>
        </is>
      </c>
    </row>
    <row r="8">
      <c r="A8" s="36" t="inlineStr">
        <is>
          <t>Glorieta</t>
        </is>
      </c>
      <c r="B8" s="36" t="inlineStr">
        <is>
          <t>Declinante incipiente</t>
        </is>
      </c>
      <c r="C8" s="36" t="inlineStr">
        <is>
          <t>Susceptible de mejora</t>
        </is>
      </c>
      <c r="D8" s="36" t="inlineStr">
        <is>
          <t>21 a 40 años</t>
        </is>
      </c>
    </row>
    <row r="9">
      <c r="A9" s="36" t="inlineStr">
        <is>
          <t>Parque</t>
        </is>
      </c>
      <c r="B9" s="36" t="inlineStr">
        <is>
          <t>Declinante severo</t>
        </is>
      </c>
      <c r="C9" s="36" t="inlineStr">
        <is>
          <t>Irrecuperable</t>
        </is>
      </c>
      <c r="D9" s="36" t="inlineStr">
        <is>
          <t>Más de 40 años</t>
        </is>
      </c>
    </row>
    <row r="10">
      <c r="A10" s="36" t="inlineStr">
        <is>
          <t>Arriate</t>
        </is>
      </c>
      <c r="B10" s="36" t="inlineStr">
        <is>
          <t>Muerto</t>
        </is>
      </c>
    </row>
    <row r="11">
      <c r="A11" s="36" t="inlineStr">
        <is>
          <t>Plaza</t>
        </is>
      </c>
    </row>
    <row r="12">
      <c r="A12" s="36" t="inlineStr">
        <is>
          <t>Jardinera</t>
        </is>
      </c>
    </row>
    <row r="13">
      <c r="A13" s="37" t="inlineStr">
        <is>
          <t>Validaciones que hay que reinstalar</t>
        </is>
      </c>
    </row>
    <row r="14">
      <c r="A14" s="38" t="inlineStr">
        <is>
          <t>Rango</t>
        </is>
      </c>
      <c r="B14" s="38" t="inlineStr">
        <is>
          <t>Tipo</t>
        </is>
      </c>
      <c r="C14" s="38" t="inlineStr">
        <is>
          <t>Criterio</t>
        </is>
      </c>
      <c r="D14" s="38" t="inlineStr">
        <is>
          <t>Nota</t>
        </is>
      </c>
    </row>
    <row r="15" ht="26" customHeight="1">
      <c r="A15" s="39" t="inlineStr">
        <is>
          <t>D2:D14</t>
        </is>
      </c>
      <c r="B15" s="39" t="inlineStr">
        <is>
          <t>Lista</t>
        </is>
      </c>
      <c r="C15" s="39" t="inlineStr">
        <is>
          <t>=CGO_TAXONÓMICO[especievalida]</t>
        </is>
      </c>
      <c r="D15" s="39" t="inlineStr">
        <is>
          <t>Hoy apunta a #REF!. Rechazar la entrada.</t>
        </is>
      </c>
    </row>
    <row r="16" ht="26" customHeight="1">
      <c r="A16" s="40" t="inlineStr">
        <is>
          <t>O2:O14</t>
        </is>
      </c>
      <c r="B16" s="40" t="inlineStr">
        <is>
          <t>Lista</t>
        </is>
      </c>
      <c r="C16" s="40" t="inlineStr">
        <is>
          <t>=Alcaldias[Alcaldía]</t>
        </is>
      </c>
      <c r="D16" s="40" t="inlineStr">
        <is>
          <t>Hoy apunta a #REF!. Rechazar la entrada.</t>
        </is>
      </c>
    </row>
    <row r="17" ht="26" customHeight="1">
      <c r="A17" s="39" t="inlineStr">
        <is>
          <t>X2:X14</t>
        </is>
      </c>
      <c r="B17" s="39" t="inlineStr">
        <is>
          <t>Lista</t>
        </is>
      </c>
      <c r="C17" s="39" t="inlineStr">
        <is>
          <t>=Catalogos_NADF!$A$6:$A$15</t>
        </is>
      </c>
      <c r="D17" s="39" t="inlineStr">
        <is>
          <t>Tipo de ubicación.</t>
        </is>
      </c>
    </row>
    <row r="18" ht="26" customHeight="1">
      <c r="A18" s="40" t="inlineStr">
        <is>
          <t>BC2:BC14</t>
        </is>
      </c>
      <c r="B18" s="40" t="inlineStr">
        <is>
          <t>Lista</t>
        </is>
      </c>
      <c r="C18" s="40" t="inlineStr">
        <is>
          <t>=Catalogos_NADF!$B$6:$B$10</t>
        </is>
      </c>
      <c r="D18" s="40" t="inlineStr">
        <is>
          <t>Condición general.</t>
        </is>
      </c>
    </row>
    <row r="19" ht="26" customHeight="1">
      <c r="A19" s="39" t="inlineStr">
        <is>
          <t>BD2:BD14</t>
        </is>
      </c>
      <c r="B19" s="39" t="inlineStr">
        <is>
          <t>Lista</t>
        </is>
      </c>
      <c r="C19" s="39" t="inlineStr">
        <is>
          <t>=Catalogos_NADF!$C$6:$C$9</t>
        </is>
      </c>
      <c r="D19" s="39" t="inlineStr">
        <is>
          <t>Estructura general.</t>
        </is>
      </c>
    </row>
    <row r="20" ht="26" customHeight="1">
      <c r="A20" s="40" t="inlineStr">
        <is>
          <t>BF2:BF14</t>
        </is>
      </c>
      <c r="B20" s="40" t="inlineStr">
        <is>
          <t>Lista</t>
        </is>
      </c>
      <c r="C20" s="40" t="inlineStr">
        <is>
          <t>=Catalogos_NADF!$D$6:$D$9</t>
        </is>
      </c>
      <c r="D20" s="40" t="inlineStr">
        <is>
          <t>Expectativa de vida.</t>
        </is>
      </c>
    </row>
    <row r="21" ht="26" customHeight="1">
      <c r="A21" s="39" t="inlineStr">
        <is>
          <t>BR2:BV14</t>
        </is>
      </c>
      <c r="B21" s="39" t="inlineStr">
        <is>
          <t>Personalizada</t>
        </is>
      </c>
      <c r="C21" s="39" t="inlineStr">
        <is>
          <t>=AND(ISNUMBER(BR2),NOT(ISNUMBER(DATEVALUE(TEXT(BR2,"dd/mm/aaaa")))))</t>
        </is>
      </c>
      <c r="D21" s="39" t="inlineStr">
        <is>
          <t>Extiende a BR:BV la validación que hoy termina en BQ. Es el bloque donde entraron las fechas.</t>
        </is>
      </c>
    </row>
    <row r="22" ht="26" customHeight="1">
      <c r="A22" s="40" t="inlineStr">
        <is>
          <t>H2:K14</t>
        </is>
      </c>
      <c r="B22" s="40" t="inlineStr">
        <is>
          <t>Lista</t>
        </is>
      </c>
      <c r="C22" s="40" t="inlineStr">
        <is>
          <t>CENTENARIO / HISTÓRICO / NOTABLE / SINGULAR según la columna</t>
        </is>
      </c>
      <c r="D22" s="40" t="inlineStr">
        <is>
          <t>Hoy H acepta un solo valor, I acepta un «NA» que nunca se usa, y J y K no tienen validación.</t>
        </is>
      </c>
    </row>
  </sheetData>
  <pageMargins left="0.4" right="0.4" top="0.5" bottom="0.5" header="0.5" footer="0.5"/>
  <pageSetup orientation="landscape" fitToHeight="0" fitToWidth="1"/>
  <headerFooter>
    <oddHeader/>
    <oddFooter>&amp;L&amp;8 Auditoría de la base de datos · SEDEMA · 20 de agosto de 2026&amp;R&amp;8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2026-08-20T16:22:43Z</dcterms:created>
  <dcterms:modified xmlns:dcterms="http://purl.org/dc/terms/" xmlns:xsi="http://www.w3.org/2001/XMLSchema-instance" xsi:type="dcterms:W3CDTF">2026-08-20T16:22:43Z</dcterms:modified>
</cp:coreProperties>
</file>